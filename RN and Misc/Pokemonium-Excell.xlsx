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5185" windowHeight="12465"/>
  </bookViews>
  <sheets>
    <sheet name="Spawn List" sheetId="1" r:id="rId1"/>
    <sheet name="Type Chart" sheetId="2" r:id="rId2"/>
    <sheet name="Map Matrix" sheetId="3" r:id="rId3"/>
  </sheets>
  <calcPr calcId="145621"/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</calcChain>
</file>

<file path=xl/sharedStrings.xml><?xml version="1.0" encoding="utf-8"?>
<sst xmlns="http://schemas.openxmlformats.org/spreadsheetml/2006/main" count="505" uniqueCount="337">
  <si>
    <t>Rattata,50;Pidgey,50;</t>
  </si>
  <si>
    <t>Map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</si>
  <si>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</si>
  <si>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</si>
  <si>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</si>
  <si>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</si>
  <si>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</si>
  <si>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</si>
  <si>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</si>
  <si>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</si>
  <si>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</si>
  <si>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10</t>
  </si>
  <si>
    <t>Route 11</t>
  </si>
  <si>
    <t>Route 12</t>
  </si>
  <si>
    <t>Route 13</t>
  </si>
  <si>
    <t>Route 14</t>
  </si>
  <si>
    <t>Route 15</t>
  </si>
  <si>
    <t>Route 16</t>
  </si>
  <si>
    <t>Route 17</t>
  </si>
  <si>
    <t>Route 18</t>
  </si>
  <si>
    <t>Route 19</t>
  </si>
  <si>
    <t>Route 20</t>
  </si>
  <si>
    <t>Route 21</t>
  </si>
  <si>
    <t>Route 22</t>
  </si>
  <si>
    <t>Route 23</t>
  </si>
  <si>
    <t>Route 24</t>
  </si>
  <si>
    <t>Route 25</t>
  </si>
  <si>
    <t>Route 26</t>
  </si>
  <si>
    <t>Route 27</t>
  </si>
  <si>
    <t>2-4;2-5;</t>
  </si>
  <si>
    <t>Rattata,50;Hoothoot,50;</t>
  </si>
  <si>
    <t>2-5;2-4;</t>
  </si>
  <si>
    <t>Pidgey,45;Rattata,45;Weedle,5;Caterpie,5;</t>
  </si>
  <si>
    <t>2-5;2-5;4-5;4-5;</t>
  </si>
  <si>
    <t>Hoothoot,45;Rattata,45;Spinarak,10;</t>
  </si>
  <si>
    <t>3-5;2-5;3-3;</t>
  </si>
  <si>
    <t>PokemonDay;Spawn%</t>
  </si>
  <si>
    <t>Levels;</t>
  </si>
  <si>
    <t>PokemonNight;Spawn%</t>
  </si>
  <si>
    <t>Spearow,43;Jigglypuff,18;Pidgey,38;Arbok,1;</t>
  </si>
  <si>
    <t>6-8;3-7;6-7;10-10;</t>
  </si>
  <si>
    <t>Zubat,44;Clefairy,18;Rattata,38;</t>
  </si>
  <si>
    <t>6-8;3-7;6-7;</t>
  </si>
  <si>
    <t>Rattata,43;Spearow,30;Ekans,13;Sandshrew,13;Raticate,1;</t>
  </si>
  <si>
    <t>8-12;8-12;6-12;6-12;10-10;</t>
  </si>
  <si>
    <t>Rattata,43;Zubat,30;Ekans,13;Sandshrew,13;Raticate,1;</t>
  </si>
  <si>
    <t>FishPokemon;Spawn%</t>
  </si>
  <si>
    <t>WaterPokemon;Spawn%</t>
  </si>
  <si>
    <t>Magikarp,43;Krabby,20;Horsea,20;Gyarados,15;Psyduck,1;Slowpoke,1;</t>
  </si>
  <si>
    <t>5-15;5-35;5-35;15-25;25-35;25-35;</t>
  </si>
  <si>
    <t>Tentacool,50;Goldeen,49;Seaking,1;</t>
  </si>
  <si>
    <t>5-40;5-14;10-14;</t>
  </si>
  <si>
    <t>Pidgey,23;Mankey,22;Bellsprout,23;Abra,10;Granbull,22;</t>
  </si>
  <si>
    <t>13-16;10-16;13-16;12-14;13-13;</t>
  </si>
  <si>
    <t>Hoothoot,23;Mankey,22;Oddish,23;Abra,10;Meowth,22;</t>
  </si>
  <si>
    <t>Magikarp,20;Poliwag,20;Goldeen,20;Shellder,20;Krabby,20;</t>
  </si>
  <si>
    <t>5-15;5-25;5-15;15-25;15-25;</t>
  </si>
  <si>
    <t>Psyduck,99;Golduck,1;</t>
  </si>
  <si>
    <t>5-40;10-40;</t>
  </si>
  <si>
    <t>Mankey,40;Pidgey,30;Oddish,10;Bellsprout,10;Growlithe,5;Vulpix,5;</t>
  </si>
  <si>
    <t>17-20;19-22;19-22;19-22;18-20;18-20;</t>
  </si>
  <si>
    <t>Meowth,40;Murkrow,30;Oddish,10;Bellsprout,10;Houndour,10;</t>
  </si>
  <si>
    <t>17-20;19-22;19-22;19-22;18-20;</t>
  </si>
  <si>
    <t>Pidgey,30;Mankey,30;Ekans,10;Sandshrew,10;Growlithe,10;Vulpix,10;</t>
  </si>
  <si>
    <t>18-20;18-20;17-19;17-19;15-18;15-18;</t>
  </si>
  <si>
    <t>Hoothoot,30;Meowth,30;Ekans,10;Sandshrew,10;Growlithe,10;Vulpix,10;</t>
  </si>
  <si>
    <t>Rattata,40;Spearow,33;Ekans,12;Sandshrew,13;Fearow,1;Primeape,1;</t>
  </si>
  <si>
    <t>14-17;13-17;11-17;11-17;15-15;15-15;</t>
  </si>
  <si>
    <t>Rattata,40;Spearow,33;Ekans,13;Sandshrew,12;Fearow,1;Primeape,1;</t>
  </si>
  <si>
    <t>Voltorb,45;Spearow,28;Ekans,12;Sandshrew,13;Quagsire,1;Marowak,1;</t>
  </si>
  <si>
    <t>14-17;13-17;11-17;11-17;16-16;15-15;</t>
  </si>
  <si>
    <t>Magikarp,60;Goldeen,30;Seaking,10;</t>
  </si>
  <si>
    <t>5-40;5-40;40-40;</t>
  </si>
  <si>
    <t>Voltorb,45;Zubat,28;Ekans,13;Sandshrew,12;Quagsire,1;Marowak,1;</t>
  </si>
  <si>
    <t>Tentacool,100;</t>
  </si>
  <si>
    <t>5-40;</t>
  </si>
  <si>
    <t>Ekans,20;Sandshrew,20;Spearow,35;Drowzee,25;</t>
  </si>
  <si>
    <t>12-15;12-15;13-17;11-15;</t>
  </si>
  <si>
    <t>Ekans,20;Sandshrew,20;Hoothoot,35;Drowzee,25;</t>
  </si>
  <si>
    <t>Bellsprout,35;Pidgey,30;Venonat,30;Weepinbell,5;</t>
  </si>
  <si>
    <t>22-26;23-27;24-26;28-30;</t>
  </si>
  <si>
    <t>Krabby,25;Horsea,25;Tentacool,25;Magikarp,20;Qwilfish,5;</t>
  </si>
  <si>
    <t>5-35;5-35;10-40;5-15;40-40;</t>
  </si>
  <si>
    <t>Oddish,35;Hoothoot,30;Venonat,30;Gloom,5;</t>
  </si>
  <si>
    <t>Tentacool,60;Quagsire,30;Tentacruel,10;</t>
  </si>
  <si>
    <t>5-40;25-40;25-40;</t>
  </si>
  <si>
    <t>Bellsprout,35;Venonat,30;Pidgey,20;Pidgeotto,10;Weepinbell,5;</t>
  </si>
  <si>
    <t>22-26;24-26;25-27;29-29;28-30;</t>
  </si>
  <si>
    <t>Oddish,35;Venonat,30;Hoothoot,20;Noctowl,10;Gloom,5;</t>
  </si>
  <si>
    <t>22-26;24-26;27-27;29-29;30-30;</t>
  </si>
  <si>
    <t>Doduo,35;Spearow,25;Raticate,15;Fearow,15;Rattata,5;Slugma,5;</t>
  </si>
  <si>
    <t>24-28;20-22;25-29;25-29;22-22;27-27;</t>
  </si>
  <si>
    <t>Doduo,35;Hoothoot,25;Raticate,15;Noctowl,15;Rattata,5;Slugma,5;</t>
  </si>
  <si>
    <t>Magikarp,10;Krabby,64;Corsola,20;Staryu,3;Kingler,3;</t>
  </si>
  <si>
    <t>10-20;10-40;20-40;20-20;40-40;</t>
  </si>
  <si>
    <t>Tentacool,90;Tentacruel,10;</t>
  </si>
  <si>
    <t>28-30;32-32;</t>
  </si>
  <si>
    <t>Tangela,99;Mr.Mime,1;</t>
  </si>
  <si>
    <t>28-32;28-32;</t>
  </si>
  <si>
    <t>Magikarp,10;Chinchou,64;Shellder,23;Lanturn,3;</t>
  </si>
  <si>
    <t>10-20;10-40;20-40;40-40;</t>
  </si>
  <si>
    <t>28-32;32-32;</t>
  </si>
  <si>
    <t>Nidoran-m,35;Nidoran-f,35;Mankey,20;Rattata,5;Spearow,5;</t>
  </si>
  <si>
    <t>2-4;2-4;3-5;3-3;2-6;</t>
  </si>
  <si>
    <t>Magikarp,10;Gyarados,10;Poliwag,30;Poliwhirl,30;Goldeen,10;Psyduck,5;Slowpoke,5;</t>
  </si>
  <si>
    <t>10-20;40-40;20-40;40-40;20-20;40-40;40-40;</t>
  </si>
  <si>
    <t>Slowpoke,50;Psyduck,50;</t>
  </si>
  <si>
    <t>20-40;20-40;</t>
  </si>
  <si>
    <t>Mankey,15;Fearow,13;Ekans,10;Sandshrew,10;Spearow,15;Arbok,3;Sandslash,2;Primeape,5;Nidorino,15;Nidorina,12;</t>
  </si>
  <si>
    <t>32-34;40-44;32-34;32-34;32-34;44-44;44-44;42-42;41-44;41-44;</t>
  </si>
  <si>
    <t>Magikarp,10;Gyarados,10;Poliwag,30;Poliwhirl,30;Goldeen,10;Psyduck,5;Slowpoke,3;Slowbro,2;</t>
  </si>
  <si>
    <t>10-20;40-40;20-40;40-40;20-20;40-40;40-40;40-40;</t>
  </si>
  <si>
    <t>Psyduck,50;Slowpoke,50;</t>
  </si>
  <si>
    <t>Weedle,12;Caterpie,13;Bellsprout,15;Pidgey,15;Kakuna,15;Metapod,15;Abra,14;Weepinbell,1;</t>
  </si>
  <si>
    <t>7-7;7-7;12-14;12-13;8-8;8-8;8-12;12-12;</t>
  </si>
  <si>
    <t>Oddish,33;Venonat,33;Abra,32;Venomoth,1;Gloom,1;</t>
  </si>
  <si>
    <t>12-14;13-16;8-12;10-10;12-12;</t>
  </si>
  <si>
    <t>Doduo,40;Sandslash,15;Arbok,15;Ponyta,20;Dodrio,5;Raticate,4;Quagsire,1;</t>
  </si>
  <si>
    <t>28-30;28-28;30-30;32-32;30-30;30-30;30-30;</t>
  </si>
  <si>
    <t>Raticate,40;Noctowl,20;Sandslash,10;Arbok,10;Ponyta,10;Quagsire,10;</t>
  </si>
  <si>
    <t>28-30;28-32;28-28;30-30;32-32;30-32;</t>
  </si>
  <si>
    <t>Magikarp,35;Tentacool,18;Tentacruel,17;Chinchou,10;Lanturn,10;Shellder,10;</t>
  </si>
  <si>
    <t>10-20;10-20;40-40;20-40;40-40;20-40;</t>
  </si>
  <si>
    <t>25-34;30-34;</t>
  </si>
  <si>
    <t>Doduo,50;Raticate,15;Arbok,15;Quagsire,10;Ponyta,5;Dodrio,2;Sandslash,3;</t>
  </si>
  <si>
    <t>28-30;28-28;28-28;28-28;32-32;30-30;30-30;</t>
  </si>
  <si>
    <t>Quagsire,50;Raticate,20;Ponyta,5;Arbok,2;Sandslash,3;Noctowl,20;</t>
  </si>
  <si>
    <t>28-30;28-30;32-32;28-28;30-30;28-32;</t>
  </si>
  <si>
    <t>15-24;20-24;</t>
  </si>
  <si>
    <t>Kanto:</t>
  </si>
  <si>
    <t>Diglett,95;Dugtrio,5;</t>
  </si>
  <si>
    <t>15-22;29-31;</t>
  </si>
  <si>
    <t>Mt. Moon 1</t>
  </si>
  <si>
    <t>Mt. Moon 2</t>
  </si>
  <si>
    <t>Mt. Moon 3</t>
  </si>
  <si>
    <t>Zubat,65;Geodude,15;Paras,15;Clefairy,5;</t>
  </si>
  <si>
    <t>9-12;9-10;10-12;10-12;</t>
  </si>
  <si>
    <t>Zubat,70;Geodude,18;Paras,10;Clefairy,2;</t>
  </si>
  <si>
    <t>7-11;7-9;10-10;9-9;</t>
  </si>
  <si>
    <t>Zubat,60;Geodude,28;Paras,10;Clefairy,2;</t>
  </si>
  <si>
    <t>Zubat,38;Geodude,30;Sandshrew,20;Paras,10;Sandslash,1;Clefairy,1;</t>
  </si>
  <si>
    <t>6-11;8-10;8-8;8-8;10-10;8-8;</t>
  </si>
  <si>
    <t>Zubat,79;Geodude,15;Paras,5;Clefairy,1;</t>
  </si>
  <si>
    <t>6-11;8-10;8-8;8-8;</t>
  </si>
  <si>
    <t>Diglett's Cave 1</t>
  </si>
  <si>
    <t>Diglett's Cave 2</t>
  </si>
  <si>
    <t>Diglett's Cave 3</t>
  </si>
  <si>
    <t>Dark Cave 1</t>
  </si>
  <si>
    <t>Dark Cave 2</t>
  </si>
  <si>
    <t>Zubat,39;Geodude,55;Dunsparce,1;Teddiursa,5;</t>
  </si>
  <si>
    <t>2-4;2-4;4-4;2-2;</t>
  </si>
  <si>
    <t>Zubat,39;Geodude,60;Dunsparce,1;</t>
  </si>
  <si>
    <t>2-4;2-4;4-4;</t>
  </si>
  <si>
    <t>Goldeen,70;Magikarp,20;Seaking,10;</t>
  </si>
  <si>
    <t>10-40;10-40;40-40;</t>
  </si>
  <si>
    <t>Magikarp,100;</t>
  </si>
  <si>
    <t>5-15;</t>
  </si>
  <si>
    <t>Zubat,30;Golbat,5;Geodude,30;Graveler,10;Wobbuffet,10;Teddiursa,5;Ursaring,10;</t>
  </si>
  <si>
    <t>23-23;23-23;23-23;25-25;20-25;20-20;25-30;</t>
  </si>
  <si>
    <t>Zubat,30;Golbat,5;Geodude,30;Graveler,20;Wobbuffet,15;</t>
  </si>
  <si>
    <t>23-23;23-23;23-23;25-25;20-25;</t>
  </si>
  <si>
    <t>Viridian Forest</t>
  </si>
  <si>
    <t>Caterpie,40;Weedle,40;Metapod,10;Kakuna,5;Pikachu,5;</t>
  </si>
  <si>
    <t>3-5;3-5;4-6;5-5;3-5;</t>
  </si>
  <si>
    <t>Rock Tunnel 1</t>
  </si>
  <si>
    <t>Rock Tunnel 2</t>
  </si>
  <si>
    <t>Geodude,35;Zubat,30;Mankey,15;Machop,9;Onix,10;Machoke,1;</t>
  </si>
  <si>
    <t>15-17;15-16;16-17;17-17;13-17;15-15;</t>
  </si>
  <si>
    <t>Zubat,40;Geodude,30;Onix,20;Haunter,5;Golbat,5;</t>
  </si>
  <si>
    <t>15-16;15-17;13-17;15-15;15-15;</t>
  </si>
  <si>
    <t>15-17;15-16;16-17;16-17;13-15;14-14;</t>
  </si>
  <si>
    <t>Zubat,40;Geodude,30;Onix,20;Haunter,5;</t>
  </si>
  <si>
    <t>15-16;15-17;13-15;15-15;</t>
  </si>
  <si>
    <t>Power Plant 1</t>
  </si>
  <si>
    <t>Power Plant 2</t>
  </si>
  <si>
    <t>Magnemite,30;Voltorb,30;Pikachu,24;Magneton,10;Electabuzz,5;Raichu,1;</t>
  </si>
  <si>
    <t>22-25;22-25;22-26;31-34;32-35;33-36;</t>
  </si>
  <si>
    <t xml:space="preserve">    public static final PokemonType T_FIRE = new PokemonType(1);</t>
  </si>
  <si>
    <t xml:space="preserve">    public static final PokemonType T_WATER = new PokemonType(2);</t>
  </si>
  <si>
    <t xml:space="preserve">    public static final PokemonType T_ELECTRIC = new PokemonType(3);</t>
  </si>
  <si>
    <t xml:space="preserve">    public static final PokemonType T_GRASS = new PokemonType(4);</t>
  </si>
  <si>
    <t xml:space="preserve">    public static final PokemonType T_ICE = new PokemonType(5);</t>
  </si>
  <si>
    <t xml:space="preserve">    public static final PokemonType T_FIGHTING = new PokemonType(6);</t>
  </si>
  <si>
    <t xml:space="preserve">    public static final PokemonType T_POISON = new PokemonType(7);</t>
  </si>
  <si>
    <t xml:space="preserve">    public static final PokemonType T_GROUND = new PokemonType(8);</t>
  </si>
  <si>
    <t xml:space="preserve">    public static final PokemonType T_FLYING = new PokemonType(9);</t>
  </si>
  <si>
    <t xml:space="preserve">    public static final PokemonType T_PSYCHIC = new PokemonType(10);</t>
  </si>
  <si>
    <t xml:space="preserve">    public static final PokemonType T_BUG = new PokemonType(11);</t>
  </si>
  <si>
    <t xml:space="preserve">    public static final PokemonType T_ROCK = new PokemonType(12);</t>
  </si>
  <si>
    <t xml:space="preserve">    public static final PokemonType T_GHOST = new PokemonType(13);</t>
  </si>
  <si>
    <t xml:space="preserve">    public static final PokemonType T_DRAGON = new PokemonType(14);</t>
  </si>
  <si>
    <t xml:space="preserve">    public static final PokemonType T_DARK = new PokemonType(15);</t>
  </si>
  <si>
    <t xml:space="preserve">    public static final PokemonType T_STEEL = new PokemonType(16);</t>
  </si>
  <si>
    <t xml:space="preserve">    public static final PokemonType T_TYPELESS = new PokemonType(17);</t>
  </si>
  <si>
    <t>{ 1, 0.5, 0.5, 1, 2, 2, 1, 1, 1, 1, 1, 2, 0.5, 1, 0.5, 1, 2, 1 },</t>
  </si>
  <si>
    <t>{ 1, 2, 0.5, 1, 0.5, 1, 1, 1, 2, 1, 1, 1, 2, 1, 0.5, 1, 1, 1 },</t>
  </si>
  <si>
    <t>{ 1, 1, 2, 0.5, 0.5, 1, 1, 1, 0, 2, 1, 1, 1, 1, 0.5, 1, 1, 1 },</t>
  </si>
  <si>
    <t>{ 1, 0.5, 2, 1, 0.5, 1, 1, 0.5, 2, 0.5, 1, 0.5, 2, 1, 0.5, 1, 0.5, 1 },</t>
  </si>
  <si>
    <t>{ 1, 0.5, 0.5, 1, 2, 0.5, 1, 1, 2, 2, 1, 1, 1, 1, 2, 1, 0.5, 1 },</t>
  </si>
  <si>
    <t>{ 2, 1, 1, 1, 1, 2, 1, 0.5, 1, 0.5, 0.5, 0.5, 2, 0, 1, 2, 2, 1 },</t>
  </si>
  <si>
    <t>{ 1, 1, 1, 1, 2, 1, 1, 0.5, 0.5, 1, 1, 1, 0.5, 0.5, 1, 1, 0, 1 },</t>
  </si>
  <si>
    <t>{ 1, 2, 1, 2, 0.5, 1, 1, 2, 1, 0, 1, 0.5, 2, 1, 1, 1, 2, 1 },</t>
  </si>
  <si>
    <t>{ 1, 1, 1, 0.5, 2, 1, 2, 1, 1, 1, 1, 2, 0.5, 1, 1, 1, 0.5, 1 },</t>
  </si>
  <si>
    <t>{ 1, 1, 1, 1, 1, 1, 2, 2, 1, 1, 0.5, 1, 1, 1, 1, 0, 0.5, 1 },</t>
  </si>
  <si>
    <t>{ 1, 0.5, 1, 1, 2, 1, 0.5, 0.5, 1, 0.5, 2, 1, 1, 0.5, 1, 2, 0.5, 1 },</t>
  </si>
  <si>
    <t>{ 1, 2, 1, 1, 1, 2, 0.5, 1, 0.5, 2, 1, 2, 1, 1, 1, 1, 0.5, 1 },</t>
  </si>
  <si>
    <t>{ 0, 1, 1, 1, 1, 1, 1, 1, 1, 1, 2, 1, 1, 2, 1, 0.5, 0.5, 1 },</t>
  </si>
  <si>
    <t>{ 1, 1, 1, 1, 1, 1, 1, 1, 1, 1, 1, 1, 1, 1, 2, 1, 0.5, 1 },</t>
  </si>
  <si>
    <t>{ 1, 1, 1, 1, 1, 1, 0.5, 1, 1, 1, 2, 1, 1, 2, 1, 0.5, 0.5, 1 },</t>
  </si>
  <si>
    <t>{ 1, 0.5, 0.5, 0.5, 1, 2, 1, 1, 1, 1, 1, 1, 2, 1, 1, 1, 0.5, 1 },</t>
  </si>
  <si>
    <t xml:space="preserve">        { 1, 1, 1, 1, 1, 1, 1, 1, 1, 1, 1, 1, 1, 1, 1, 1, 1 }</t>
  </si>
  <si>
    <t>NORMAL</t>
  </si>
  <si>
    <t xml:space="preserve">FIRE </t>
  </si>
  <si>
    <t>WATER</t>
  </si>
  <si>
    <t>ELECTRIC</t>
  </si>
  <si>
    <t xml:space="preserve">GRASS </t>
  </si>
  <si>
    <t xml:space="preserve">ICE </t>
  </si>
  <si>
    <t xml:space="preserve">FIGHTING </t>
  </si>
  <si>
    <t xml:space="preserve">POISON </t>
  </si>
  <si>
    <t xml:space="preserve">GROUND </t>
  </si>
  <si>
    <t xml:space="preserve">FLYING </t>
  </si>
  <si>
    <t xml:space="preserve">PSYCHIC </t>
  </si>
  <si>
    <t xml:space="preserve">BUG </t>
  </si>
  <si>
    <t xml:space="preserve">ROCK </t>
  </si>
  <si>
    <t>GHOST</t>
  </si>
  <si>
    <t xml:space="preserve">DRAGON </t>
  </si>
  <si>
    <t xml:space="preserve">DARK </t>
  </si>
  <si>
    <t xml:space="preserve">STEEL </t>
  </si>
  <si>
    <t xml:space="preserve">TYPELESS </t>
  </si>
  <si>
    <t>0.5 = Not Very effective (50%)</t>
  </si>
  <si>
    <t>2 = Super effective (200%)</t>
  </si>
  <si>
    <t>0 = No effect (0%)</t>
  </si>
  <si>
    <t>1 = Normal (100%)</t>
  </si>
  <si>
    <t>FIRE</t>
  </si>
  <si>
    <t>GRASS</t>
  </si>
  <si>
    <t>ICE</t>
  </si>
  <si>
    <t>FIGHTING</t>
  </si>
  <si>
    <t>POISON</t>
  </si>
  <si>
    <t>GROUND</t>
  </si>
  <si>
    <t>FLYING</t>
  </si>
  <si>
    <t>PSYCHIC</t>
  </si>
  <si>
    <t>BUG</t>
  </si>
  <si>
    <t>ROCK</t>
  </si>
  <si>
    <t>DRAGON</t>
  </si>
  <si>
    <t>DARK</t>
  </si>
  <si>
    <t>STEEL</t>
  </si>
  <si>
    <t>TYPELESS</t>
  </si>
  <si>
    <t>Code Base:</t>
  </si>
  <si>
    <t>/**</t>
  </si>
  <si>
    <t xml:space="preserve">     * Constants representing each of the types.</t>
  </si>
  <si>
    <t xml:space="preserve">     */</t>
  </si>
  <si>
    <t xml:space="preserve">    public static final PokemonType T_NORMAL = new PokemonType(0);</t>
  </si>
  <si>
    <t xml:space="preserve">    </t>
  </si>
  <si>
    <t xml:space="preserve">    private static final String m_types[] = new String[] {</t>
  </si>
  <si>
    <t xml:space="preserve">        "Normal",</t>
  </si>
  <si>
    <t xml:space="preserve">        "Fire",</t>
  </si>
  <si>
    <t xml:space="preserve">        "Water",</t>
  </si>
  <si>
    <t xml:space="preserve">        "Electric",</t>
  </si>
  <si>
    <t xml:space="preserve">        "Grass",</t>
  </si>
  <si>
    <t xml:space="preserve">        "Ice",</t>
  </si>
  <si>
    <t xml:space="preserve">        "Fighting",</t>
  </si>
  <si>
    <t xml:space="preserve">        "Poison",</t>
  </si>
  <si>
    <t xml:space="preserve">        "Ground",</t>
  </si>
  <si>
    <t xml:space="preserve">        "Flying",</t>
  </si>
  <si>
    <t xml:space="preserve">        "Psychic",</t>
  </si>
  <si>
    <t xml:space="preserve">        "Bug",</t>
  </si>
  <si>
    <t xml:space="preserve">        "Rock",</t>
  </si>
  <si>
    <t xml:space="preserve">        "Ghost",</t>
  </si>
  <si>
    <t xml:space="preserve">        "Dragon",</t>
  </si>
  <si>
    <t xml:space="preserve">        "Dark",</t>
  </si>
  <si>
    <t xml:space="preserve">        "Steel",</t>
  </si>
  <si>
    <t xml:space="preserve">        "Typeless"</t>
  </si>
  <si>
    <t xml:space="preserve">    };</t>
  </si>
  <si>
    <t xml:space="preserve">    private static final boolean m_special[] = new boolean[] {</t>
  </si>
  <si>
    <t xml:space="preserve">        false,</t>
  </si>
  <si>
    <t xml:space="preserve">        true,</t>
  </si>
  <si>
    <t xml:space="preserve">        false</t>
  </si>
  <si>
    <t xml:space="preserve">    private static final double m_multiplier[][] = new double[][] {</t>
  </si>
  <si>
    <t xml:space="preserve">        { 1, 1, 1, 1, 1, 1, 1, 1, 1, 1, 1, 1, 0.5, 0, 1, 1, 0.5, 1 },</t>
  </si>
  <si>
    <t xml:space="preserve"> </t>
  </si>
  <si>
    <t>Gym</t>
  </si>
  <si>
    <t>RoA</t>
  </si>
  <si>
    <t>Sprout Tower</t>
  </si>
  <si>
    <t>Pokemon Center</t>
  </si>
  <si>
    <t>Dark Cave</t>
  </si>
  <si>
    <t>Burned Towner</t>
  </si>
  <si>
    <t>Tin Tower</t>
  </si>
  <si>
    <t>Olivine Lighthouse</t>
  </si>
  <si>
    <t>Power Plant</t>
  </si>
  <si>
    <t>Dragons Den</t>
  </si>
  <si>
    <t>Mt.Moon</t>
  </si>
  <si>
    <t>Diglett's Cave</t>
  </si>
  <si>
    <t>Pokemon Tower</t>
  </si>
  <si>
    <t>Victory Road</t>
  </si>
  <si>
    <t>Rock Tunnel</t>
  </si>
  <si>
    <t>Lake of Rage</t>
  </si>
  <si>
    <t>Route 43</t>
  </si>
  <si>
    <t>Route 29</t>
  </si>
  <si>
    <t>Route 38</t>
  </si>
  <si>
    <t>Ecruteak</t>
  </si>
  <si>
    <t>Route 42</t>
  </si>
  <si>
    <t>Mahogany</t>
  </si>
  <si>
    <t>Route 44</t>
  </si>
  <si>
    <t>Cerulean</t>
  </si>
  <si>
    <t>Route 40</t>
  </si>
  <si>
    <t>Olvine</t>
  </si>
  <si>
    <t>Route 37</t>
  </si>
  <si>
    <t>Ind. Plat.</t>
  </si>
  <si>
    <t>Pewter</t>
  </si>
  <si>
    <t>Cianwood</t>
  </si>
  <si>
    <t>Route 41</t>
  </si>
  <si>
    <t>National Park</t>
  </si>
  <si>
    <t>Route 36</t>
  </si>
  <si>
    <t>Violet</t>
  </si>
  <si>
    <t>Route 31</t>
  </si>
  <si>
    <t>Blackthron</t>
  </si>
  <si>
    <t>Saffron</t>
  </si>
  <si>
    <t>Lavender</t>
  </si>
  <si>
    <t>Celadon</t>
  </si>
  <si>
    <t>Route 35</t>
  </si>
  <si>
    <t>Ruins</t>
  </si>
  <si>
    <t>Route 32</t>
  </si>
  <si>
    <t>Route 30</t>
  </si>
  <si>
    <t>Route 46</t>
  </si>
  <si>
    <t>Route 45</t>
  </si>
  <si>
    <t>Viridian</t>
  </si>
  <si>
    <t>Goldenrod</t>
  </si>
  <si>
    <t>Cherrygrove</t>
  </si>
  <si>
    <t>Newbark</t>
  </si>
  <si>
    <t>Vermilion</t>
  </si>
  <si>
    <t>Route 34</t>
  </si>
  <si>
    <t>Pallet</t>
  </si>
  <si>
    <t>Ilex Forest</t>
  </si>
  <si>
    <t>Azalea</t>
  </si>
  <si>
    <t>Route 33</t>
  </si>
  <si>
    <t>Cinnabar</t>
  </si>
  <si>
    <t>Fuchsia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</si>
</sst>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0" fontId="4" fillId="23" borderId="0" applyNumberFormat="0" applyBorder="0" applyAlignment="0" applyProtection="0"/>
    <xf numFmtId="0" fontId="5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2" applyNumberFormat="0" applyAlignment="0" applyProtection="0"/>
    <xf numFmtId="0" fontId="8" fillId="27" borderId="3" applyNumberFormat="0" applyAlignment="0" applyProtection="0"/>
    <xf numFmtId="0" fontId="3" fillId="28" borderId="4" applyNumberFormat="0" applyFont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0" fillId="2" borderId="1" xfId="0" applyFill="1" applyBorder="1"/>
    <xf numFmtId="0" fontId="0" fillId="13" borderId="1" xfId="0" applyFill="1" applyBorder="1"/>
    <xf numFmtId="0" fontId="0" fillId="3" borderId="1" xfId="0" applyFill="1" applyBorder="1"/>
    <xf numFmtId="0" fontId="0" fillId="16" borderId="1" xfId="0" applyFill="1" applyBorder="1"/>
    <xf numFmtId="0" fontId="0" fillId="14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1" borderId="1" xfId="0" applyFill="1" applyBorder="1"/>
    <xf numFmtId="0" fontId="0" fillId="17" borderId="1" xfId="0" applyFill="1" applyBorder="1"/>
    <xf numFmtId="0" fontId="1" fillId="15" borderId="1" xfId="0" applyFont="1" applyFill="1" applyBorder="1"/>
    <xf numFmtId="0" fontId="0" fillId="8" borderId="1" xfId="0" applyFill="1" applyBorder="1"/>
    <xf numFmtId="0" fontId="1" fillId="18" borderId="1" xfId="0" applyFont="1" applyFill="1" applyBorder="1"/>
    <xf numFmtId="0" fontId="0" fillId="19" borderId="1" xfId="0" applyFill="1" applyBorder="1"/>
    <xf numFmtId="0" fontId="0" fillId="21" borderId="1" xfId="0" applyFill="1" applyBorder="1"/>
    <xf numFmtId="0" fontId="1" fillId="20" borderId="1" xfId="0" applyFont="1" applyFill="1" applyBorder="1"/>
    <xf numFmtId="0" fontId="0" fillId="12" borderId="1" xfId="0" applyFill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8" fillId="27" borderId="3" xfId="5"/>
    <xf numFmtId="0" fontId="7" fillId="26" borderId="2" xfId="4"/>
    <xf numFmtId="0" fontId="3" fillId="30" borderId="0" xfId="8"/>
    <xf numFmtId="0" fontId="0" fillId="28" borderId="4" xfId="6" applyFont="1"/>
    <xf numFmtId="0" fontId="3" fillId="31" borderId="0" xfId="9"/>
    <xf numFmtId="0" fontId="4" fillId="23" borderId="0" xfId="1"/>
    <xf numFmtId="0" fontId="3" fillId="29" borderId="0" xfId="7"/>
    <xf numFmtId="0" fontId="5" fillId="24" borderId="0" xfId="2"/>
    <xf numFmtId="0" fontId="6" fillId="25" borderId="0" xfId="3"/>
  </cellXfs>
  <cellStyles count="10">
    <cellStyle name="20% - Accent1" xfId="7" builtinId="30"/>
    <cellStyle name="20% - Accent4" xfId="8" builtinId="42"/>
    <cellStyle name="20% - Accent6" xfId="9" builtinId="50"/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  <cellStyle name="Note" xfId="6" builtinId="10"/>
  </cellStyles>
  <dxfs count="0"/>
  <tableStyles count="0" defaultTableStyle="TableStyleMedium2" defaultPivotStyle="PivotStyleLight16"/>
  <colors>
    <mruColors>
      <color rgb="FF00336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Normal="100" workbookViewId="0">
      <selection activeCell="B34" sqref="B34"/>
    </sheetView>
  </sheetViews>
  <sheetFormatPr defaultRowHeight="15" x14ac:dyDescent="0.25"/>
  <cols>
    <col min="1" max="1" width="14.5703125" bestFit="1" customWidth="1"/>
    <col min="2" max="2" width="106.85546875" bestFit="1" customWidth="1"/>
    <col min="3" max="3" width="55.42578125" bestFit="1" customWidth="1"/>
    <col min="4" max="4" width="106.85546875" bestFit="1" customWidth="1"/>
    <col min="5" max="5" width="55.42578125" bestFit="1" customWidth="1"/>
    <col min="6" max="6" width="87.85546875" bestFit="1" customWidth="1"/>
    <col min="7" max="7" width="44.42578125" bestFit="1" customWidth="1"/>
    <col min="8" max="8" width="37.28515625" bestFit="1" customWidth="1"/>
    <col min="9" max="9" width="16" bestFit="1" customWidth="1"/>
  </cols>
  <sheetData>
    <row r="1" spans="1:9" ht="15.75" x14ac:dyDescent="0.25">
      <c r="A1" s="1" t="s">
        <v>1</v>
      </c>
      <c r="B1" s="1" t="s">
        <v>36</v>
      </c>
      <c r="C1" s="1" t="s">
        <v>37</v>
      </c>
      <c r="D1" s="1" t="s">
        <v>38</v>
      </c>
      <c r="E1" s="1" t="s">
        <v>37</v>
      </c>
      <c r="F1" s="1" t="s">
        <v>46</v>
      </c>
      <c r="G1" s="1" t="s">
        <v>37</v>
      </c>
      <c r="H1" s="1" t="s">
        <v>47</v>
      </c>
      <c r="I1" s="1" t="s">
        <v>37</v>
      </c>
    </row>
    <row r="2" spans="1:9" ht="15.75" x14ac:dyDescent="0.25">
      <c r="A2" s="1" t="s">
        <v>129</v>
      </c>
    </row>
    <row r="3" spans="1:9" x14ac:dyDescent="0.25">
      <c r="A3" t="s">
        <v>2</v>
      </c>
      <c r="B3" t="s">
        <v>0</v>
      </c>
      <c r="C3" t="s">
        <v>29</v>
      </c>
      <c r="D3" t="s">
        <v>30</v>
      </c>
      <c r="E3" t="s">
        <v>31</v>
      </c>
    </row>
    <row r="4" spans="1:9" x14ac:dyDescent="0.25">
      <c r="A4" t="s">
        <v>3</v>
      </c>
      <c r="B4" t="s">
        <v>32</v>
      </c>
      <c r="C4" t="s">
        <v>33</v>
      </c>
      <c r="D4" t="s">
        <v>34</v>
      </c>
      <c r="E4" t="s">
        <v>35</v>
      </c>
    </row>
    <row r="5" spans="1:9" x14ac:dyDescent="0.25">
      <c r="A5" t="s">
        <v>4</v>
      </c>
      <c r="B5" t="s">
        <v>39</v>
      </c>
      <c r="C5" t="s">
        <v>40</v>
      </c>
      <c r="D5" t="s">
        <v>41</v>
      </c>
      <c r="E5" t="s">
        <v>42</v>
      </c>
    </row>
    <row r="6" spans="1:9" x14ac:dyDescent="0.25">
      <c r="A6" t="s">
        <v>5</v>
      </c>
      <c r="B6" t="s">
        <v>43</v>
      </c>
      <c r="C6" t="s">
        <v>44</v>
      </c>
      <c r="D6" t="s">
        <v>45</v>
      </c>
      <c r="E6" t="s">
        <v>44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5">
      <c r="A7" t="s">
        <v>6</v>
      </c>
      <c r="B7" t="s">
        <v>52</v>
      </c>
      <c r="C7" t="s">
        <v>53</v>
      </c>
      <c r="D7" t="s">
        <v>54</v>
      </c>
      <c r="E7" t="s">
        <v>53</v>
      </c>
    </row>
    <row r="8" spans="1:9" x14ac:dyDescent="0.25">
      <c r="A8" t="s">
        <v>7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G8" t="s">
        <v>56</v>
      </c>
      <c r="H8" t="s">
        <v>57</v>
      </c>
      <c r="I8" t="s">
        <v>58</v>
      </c>
    </row>
    <row r="9" spans="1:9" x14ac:dyDescent="0.25">
      <c r="A9" t="s">
        <v>8</v>
      </c>
      <c r="B9" t="s">
        <v>59</v>
      </c>
      <c r="C9" t="s">
        <v>60</v>
      </c>
      <c r="D9" t="s">
        <v>61</v>
      </c>
      <c r="E9" t="s">
        <v>62</v>
      </c>
    </row>
    <row r="10" spans="1:9" x14ac:dyDescent="0.25">
      <c r="A10" t="s">
        <v>9</v>
      </c>
      <c r="B10" t="s">
        <v>63</v>
      </c>
      <c r="C10" t="s">
        <v>64</v>
      </c>
      <c r="D10" t="s">
        <v>65</v>
      </c>
      <c r="E10" t="s">
        <v>64</v>
      </c>
    </row>
    <row r="11" spans="1:9" x14ac:dyDescent="0.25">
      <c r="A11" t="s">
        <v>10</v>
      </c>
      <c r="B11" t="s">
        <v>66</v>
      </c>
      <c r="C11" t="s">
        <v>67</v>
      </c>
      <c r="D11" t="s">
        <v>68</v>
      </c>
      <c r="E11" t="s">
        <v>67</v>
      </c>
    </row>
    <row r="12" spans="1:9" x14ac:dyDescent="0.25">
      <c r="A12" t="s">
        <v>11</v>
      </c>
      <c r="B12" t="s">
        <v>69</v>
      </c>
      <c r="C12" t="s">
        <v>70</v>
      </c>
      <c r="D12" t="s">
        <v>73</v>
      </c>
      <c r="E12" t="s">
        <v>70</v>
      </c>
      <c r="F12" t="s">
        <v>71</v>
      </c>
      <c r="G12" t="s">
        <v>72</v>
      </c>
      <c r="H12" t="s">
        <v>74</v>
      </c>
      <c r="I12" t="s">
        <v>75</v>
      </c>
    </row>
    <row r="13" spans="1:9" x14ac:dyDescent="0.25">
      <c r="A13" t="s">
        <v>12</v>
      </c>
      <c r="B13" t="s">
        <v>76</v>
      </c>
      <c r="C13" t="s">
        <v>77</v>
      </c>
      <c r="D13" t="s">
        <v>78</v>
      </c>
      <c r="E13" t="s">
        <v>77</v>
      </c>
    </row>
    <row r="14" spans="1:9" x14ac:dyDescent="0.25">
      <c r="A14" t="s">
        <v>13</v>
      </c>
      <c r="B14" t="s">
        <v>79</v>
      </c>
      <c r="C14" t="s">
        <v>80</v>
      </c>
      <c r="D14" t="s">
        <v>83</v>
      </c>
      <c r="E14" t="s">
        <v>80</v>
      </c>
      <c r="F14" t="s">
        <v>81</v>
      </c>
      <c r="G14" t="s">
        <v>82</v>
      </c>
      <c r="H14" t="s">
        <v>84</v>
      </c>
      <c r="I14" t="s">
        <v>85</v>
      </c>
    </row>
    <row r="15" spans="1:9" x14ac:dyDescent="0.25">
      <c r="A15" t="s">
        <v>14</v>
      </c>
      <c r="B15" t="s">
        <v>86</v>
      </c>
      <c r="C15" t="s">
        <v>87</v>
      </c>
      <c r="D15" t="s">
        <v>88</v>
      </c>
      <c r="E15" t="s">
        <v>87</v>
      </c>
      <c r="F15" t="s">
        <v>81</v>
      </c>
      <c r="G15" t="s">
        <v>82</v>
      </c>
      <c r="H15" t="s">
        <v>84</v>
      </c>
      <c r="I15" t="s">
        <v>85</v>
      </c>
    </row>
    <row r="16" spans="1:9" x14ac:dyDescent="0.25">
      <c r="A16" t="s">
        <v>15</v>
      </c>
      <c r="B16" t="s">
        <v>86</v>
      </c>
      <c r="C16" t="s">
        <v>89</v>
      </c>
      <c r="D16" t="s">
        <v>88</v>
      </c>
      <c r="E16" t="s">
        <v>89</v>
      </c>
    </row>
    <row r="17" spans="1:9" x14ac:dyDescent="0.25">
      <c r="A17" t="s">
        <v>16</v>
      </c>
      <c r="B17" t="s">
        <v>86</v>
      </c>
      <c r="C17" t="s">
        <v>89</v>
      </c>
      <c r="D17" t="s">
        <v>88</v>
      </c>
      <c r="E17" t="s">
        <v>89</v>
      </c>
    </row>
    <row r="18" spans="1:9" x14ac:dyDescent="0.25">
      <c r="A18" t="s">
        <v>17</v>
      </c>
    </row>
    <row r="19" spans="1:9" x14ac:dyDescent="0.25">
      <c r="A19" t="s">
        <v>18</v>
      </c>
    </row>
    <row r="20" spans="1:9" x14ac:dyDescent="0.25">
      <c r="A20" t="s">
        <v>19</v>
      </c>
      <c r="B20" t="s">
        <v>90</v>
      </c>
      <c r="C20" t="s">
        <v>91</v>
      </c>
      <c r="D20" t="s">
        <v>92</v>
      </c>
      <c r="E20" t="s">
        <v>91</v>
      </c>
    </row>
    <row r="21" spans="1:9" x14ac:dyDescent="0.25">
      <c r="A21" t="s">
        <v>20</v>
      </c>
      <c r="F21" t="s">
        <v>93</v>
      </c>
      <c r="G21" t="s">
        <v>94</v>
      </c>
      <c r="H21" t="s">
        <v>95</v>
      </c>
      <c r="I21" t="s">
        <v>96</v>
      </c>
    </row>
    <row r="22" spans="1:9" x14ac:dyDescent="0.25">
      <c r="A22" t="s">
        <v>21</v>
      </c>
    </row>
    <row r="23" spans="1:9" x14ac:dyDescent="0.25">
      <c r="A23" t="s">
        <v>22</v>
      </c>
      <c r="B23" t="s">
        <v>97</v>
      </c>
      <c r="C23" t="s">
        <v>98</v>
      </c>
      <c r="D23" t="s">
        <v>97</v>
      </c>
      <c r="E23" t="s">
        <v>98</v>
      </c>
      <c r="F23" t="s">
        <v>99</v>
      </c>
      <c r="G23" t="s">
        <v>100</v>
      </c>
      <c r="H23" t="s">
        <v>95</v>
      </c>
      <c r="I23" t="s">
        <v>101</v>
      </c>
    </row>
    <row r="24" spans="1:9" x14ac:dyDescent="0.25">
      <c r="A24" t="s">
        <v>23</v>
      </c>
      <c r="B24" t="s">
        <v>102</v>
      </c>
      <c r="C24" t="s">
        <v>103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</row>
    <row r="25" spans="1:9" x14ac:dyDescent="0.25">
      <c r="A25" t="s">
        <v>24</v>
      </c>
      <c r="B25" t="s">
        <v>108</v>
      </c>
      <c r="C25" t="s">
        <v>109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107</v>
      </c>
    </row>
    <row r="26" spans="1:9" x14ac:dyDescent="0.25">
      <c r="A26" t="s">
        <v>25</v>
      </c>
      <c r="B26" t="s">
        <v>113</v>
      </c>
      <c r="C26" t="s">
        <v>114</v>
      </c>
      <c r="D26" t="s">
        <v>115</v>
      </c>
      <c r="E26" t="s">
        <v>116</v>
      </c>
      <c r="F26" t="s">
        <v>48</v>
      </c>
      <c r="G26" t="s">
        <v>49</v>
      </c>
      <c r="H26" t="s">
        <v>50</v>
      </c>
      <c r="I26" t="s">
        <v>51</v>
      </c>
    </row>
    <row r="27" spans="1:9" x14ac:dyDescent="0.25">
      <c r="A27" t="s">
        <v>26</v>
      </c>
    </row>
    <row r="28" spans="1:9" x14ac:dyDescent="0.25">
      <c r="A28" t="s">
        <v>27</v>
      </c>
      <c r="B28" t="s">
        <v>117</v>
      </c>
      <c r="C28" t="s">
        <v>118</v>
      </c>
      <c r="D28" t="s">
        <v>119</v>
      </c>
      <c r="E28" t="s">
        <v>120</v>
      </c>
      <c r="F28" t="s">
        <v>121</v>
      </c>
      <c r="G28" t="s">
        <v>122</v>
      </c>
      <c r="H28" t="s">
        <v>95</v>
      </c>
      <c r="I28" t="s">
        <v>123</v>
      </c>
    </row>
    <row r="29" spans="1:9" x14ac:dyDescent="0.25">
      <c r="A29" t="s">
        <v>28</v>
      </c>
      <c r="B29" t="s">
        <v>124</v>
      </c>
      <c r="C29" t="s">
        <v>125</v>
      </c>
      <c r="D29" t="s">
        <v>126</v>
      </c>
      <c r="E29" t="s">
        <v>127</v>
      </c>
      <c r="F29" t="s">
        <v>121</v>
      </c>
      <c r="G29" t="s">
        <v>122</v>
      </c>
      <c r="H29" t="s">
        <v>95</v>
      </c>
      <c r="I29" t="s">
        <v>128</v>
      </c>
    </row>
    <row r="30" spans="1:9" x14ac:dyDescent="0.25">
      <c r="A30" t="s">
        <v>144</v>
      </c>
      <c r="B30" t="s">
        <v>130</v>
      </c>
      <c r="C30" t="s">
        <v>131</v>
      </c>
      <c r="D30" t="s">
        <v>130</v>
      </c>
      <c r="E30" t="s">
        <v>131</v>
      </c>
    </row>
    <row r="31" spans="1:9" x14ac:dyDescent="0.25">
      <c r="A31" t="s">
        <v>145</v>
      </c>
    </row>
    <row r="32" spans="1:9" x14ac:dyDescent="0.25">
      <c r="A32" t="s">
        <v>146</v>
      </c>
    </row>
    <row r="33" spans="1:9" x14ac:dyDescent="0.25">
      <c r="A33" t="s">
        <v>132</v>
      </c>
      <c r="B33" t="s">
        <v>135</v>
      </c>
      <c r="C33" t="s">
        <v>136</v>
      </c>
      <c r="D33" t="s">
        <v>135</v>
      </c>
      <c r="E33" t="s">
        <v>136</v>
      </c>
    </row>
    <row r="34" spans="1:9" x14ac:dyDescent="0.25">
      <c r="A34" t="s">
        <v>133</v>
      </c>
      <c r="B34" t="s">
        <v>137</v>
      </c>
      <c r="C34" t="s">
        <v>138</v>
      </c>
      <c r="D34" t="s">
        <v>139</v>
      </c>
      <c r="E34" t="s">
        <v>138</v>
      </c>
    </row>
    <row r="35" spans="1:9" x14ac:dyDescent="0.25">
      <c r="A35" t="s">
        <v>134</v>
      </c>
      <c r="B35" t="s">
        <v>140</v>
      </c>
      <c r="C35" t="s">
        <v>141</v>
      </c>
      <c r="D35" t="s">
        <v>142</v>
      </c>
      <c r="E35" t="s">
        <v>143</v>
      </c>
    </row>
    <row r="36" spans="1:9" x14ac:dyDescent="0.25">
      <c r="A36" t="s">
        <v>147</v>
      </c>
      <c r="B36" t="s">
        <v>149</v>
      </c>
      <c r="C36" t="s">
        <v>150</v>
      </c>
      <c r="D36" t="s">
        <v>151</v>
      </c>
      <c r="E36" t="s">
        <v>152</v>
      </c>
      <c r="F36" t="s">
        <v>153</v>
      </c>
      <c r="G36" t="s">
        <v>154</v>
      </c>
      <c r="H36" t="s">
        <v>155</v>
      </c>
      <c r="I36" t="s">
        <v>156</v>
      </c>
    </row>
    <row r="37" spans="1:9" x14ac:dyDescent="0.25">
      <c r="A37" t="s">
        <v>148</v>
      </c>
      <c r="B37" t="s">
        <v>157</v>
      </c>
      <c r="C37" t="s">
        <v>158</v>
      </c>
      <c r="D37" t="s">
        <v>159</v>
      </c>
      <c r="E37" t="s">
        <v>160</v>
      </c>
      <c r="F37" t="s">
        <v>153</v>
      </c>
      <c r="G37" t="s">
        <v>154</v>
      </c>
      <c r="H37" t="s">
        <v>155</v>
      </c>
      <c r="I37" t="s">
        <v>156</v>
      </c>
    </row>
    <row r="38" spans="1:9" x14ac:dyDescent="0.25">
      <c r="A38" t="s">
        <v>161</v>
      </c>
      <c r="B38" t="s">
        <v>162</v>
      </c>
      <c r="C38" t="s">
        <v>163</v>
      </c>
      <c r="D38" t="s">
        <v>162</v>
      </c>
      <c r="E38" t="s">
        <v>163</v>
      </c>
    </row>
    <row r="39" spans="1:9" x14ac:dyDescent="0.25">
      <c r="A39" t="s">
        <v>164</v>
      </c>
      <c r="B39" t="s">
        <v>166</v>
      </c>
      <c r="C39" t="s">
        <v>167</v>
      </c>
      <c r="D39" t="s">
        <v>168</v>
      </c>
      <c r="E39" t="s">
        <v>169</v>
      </c>
    </row>
    <row r="40" spans="1:9" x14ac:dyDescent="0.25">
      <c r="A40" t="s">
        <v>165</v>
      </c>
      <c r="B40" t="s">
        <v>166</v>
      </c>
      <c r="C40" t="s">
        <v>170</v>
      </c>
      <c r="D40" t="s">
        <v>171</v>
      </c>
      <c r="E40" t="s">
        <v>172</v>
      </c>
    </row>
    <row r="41" spans="1:9" x14ac:dyDescent="0.25">
      <c r="A41" t="s">
        <v>173</v>
      </c>
      <c r="B41" t="s">
        <v>175</v>
      </c>
      <c r="C41" t="s">
        <v>176</v>
      </c>
      <c r="D41" t="s">
        <v>175</v>
      </c>
      <c r="E41" t="s">
        <v>176</v>
      </c>
    </row>
    <row r="42" spans="1:9" x14ac:dyDescent="0.25">
      <c r="A42" t="s">
        <v>174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workbookViewId="0">
      <selection activeCell="L23" sqref="L23"/>
    </sheetView>
  </sheetViews>
  <sheetFormatPr defaultRowHeight="15" x14ac:dyDescent="0.25"/>
  <cols>
    <col min="1" max="1" width="27.7109375" bestFit="1" customWidth="1"/>
    <col min="2" max="2" width="9.5703125" customWidth="1"/>
    <col min="3" max="3" width="4.7109375" bestFit="1" customWidth="1"/>
    <col min="4" max="4" width="7.28515625" bestFit="1" customWidth="1"/>
    <col min="5" max="5" width="8.85546875" bestFit="1" customWidth="1"/>
    <col min="6" max="6" width="6.7109375" bestFit="1" customWidth="1"/>
    <col min="7" max="7" width="3.7109375" bestFit="1" customWidth="1"/>
    <col min="8" max="8" width="9.42578125" bestFit="1" customWidth="1"/>
    <col min="9" max="9" width="8" bestFit="1" customWidth="1"/>
    <col min="10" max="10" width="8.85546875" bestFit="1" customWidth="1"/>
    <col min="11" max="11" width="7.140625" bestFit="1" customWidth="1"/>
    <col min="12" max="12" width="8.28515625" bestFit="1" customWidth="1"/>
    <col min="13" max="13" width="4.7109375" bestFit="1" customWidth="1"/>
    <col min="14" max="14" width="5.85546875" bestFit="1" customWidth="1"/>
    <col min="15" max="15" width="7" bestFit="1" customWidth="1"/>
    <col min="16" max="16" width="8.85546875" bestFit="1" customWidth="1"/>
    <col min="17" max="18" width="5.85546875" bestFit="1" customWidth="1"/>
    <col min="19" max="19" width="9" bestFit="1" customWidth="1"/>
  </cols>
  <sheetData>
    <row r="1" spans="1:19" x14ac:dyDescent="0.25">
      <c r="A1" s="23"/>
      <c r="B1" s="3" t="s">
        <v>211</v>
      </c>
      <c r="C1" s="4" t="s">
        <v>233</v>
      </c>
      <c r="D1" s="5" t="s">
        <v>213</v>
      </c>
      <c r="E1" s="6" t="s">
        <v>214</v>
      </c>
      <c r="F1" s="7" t="s">
        <v>234</v>
      </c>
      <c r="G1" s="8" t="s">
        <v>235</v>
      </c>
      <c r="H1" s="9" t="s">
        <v>236</v>
      </c>
      <c r="I1" s="10" t="s">
        <v>237</v>
      </c>
      <c r="J1" s="11" t="s">
        <v>238</v>
      </c>
      <c r="K1" s="12" t="s">
        <v>239</v>
      </c>
      <c r="L1" s="13" t="s">
        <v>240</v>
      </c>
      <c r="M1" s="14" t="s">
        <v>241</v>
      </c>
      <c r="N1" s="15" t="s">
        <v>242</v>
      </c>
      <c r="O1" s="16" t="s">
        <v>224</v>
      </c>
      <c r="P1" s="17" t="s">
        <v>243</v>
      </c>
      <c r="Q1" s="18" t="s">
        <v>244</v>
      </c>
      <c r="R1" s="19" t="s">
        <v>245</v>
      </c>
      <c r="S1" s="2" t="s">
        <v>246</v>
      </c>
    </row>
    <row r="2" spans="1:19" x14ac:dyDescent="0.25">
      <c r="A2" s="3" t="s">
        <v>211</v>
      </c>
      <c r="B2" s="24">
        <v>1</v>
      </c>
      <c r="C2" s="24">
        <v>1</v>
      </c>
      <c r="D2" s="24">
        <v>1</v>
      </c>
      <c r="E2" s="24">
        <v>1</v>
      </c>
      <c r="F2" s="24">
        <v>1</v>
      </c>
      <c r="G2" s="24">
        <v>1</v>
      </c>
      <c r="H2" s="24">
        <v>1</v>
      </c>
      <c r="I2" s="24">
        <v>1</v>
      </c>
      <c r="J2" s="24">
        <v>1</v>
      </c>
      <c r="K2" s="24">
        <v>1</v>
      </c>
      <c r="L2" s="24">
        <v>1</v>
      </c>
      <c r="M2" s="24">
        <v>1</v>
      </c>
      <c r="N2" s="25">
        <v>0.5</v>
      </c>
      <c r="O2" s="26">
        <v>0</v>
      </c>
      <c r="P2" s="24">
        <v>1</v>
      </c>
      <c r="Q2" s="24">
        <v>1</v>
      </c>
      <c r="R2" s="25">
        <v>0.5</v>
      </c>
      <c r="S2" s="24">
        <v>1</v>
      </c>
    </row>
    <row r="3" spans="1:19" x14ac:dyDescent="0.25">
      <c r="A3" s="4" t="s">
        <v>212</v>
      </c>
      <c r="B3" s="24">
        <v>1</v>
      </c>
      <c r="C3" s="27">
        <v>2</v>
      </c>
      <c r="D3" s="25">
        <v>0.5</v>
      </c>
      <c r="E3" s="24">
        <v>1</v>
      </c>
      <c r="F3" s="25">
        <v>0.5</v>
      </c>
      <c r="G3" s="24">
        <v>1</v>
      </c>
      <c r="H3" s="24">
        <v>1</v>
      </c>
      <c r="I3" s="24">
        <v>1</v>
      </c>
      <c r="J3" s="27">
        <v>2</v>
      </c>
      <c r="K3" s="24">
        <v>1</v>
      </c>
      <c r="L3" s="24">
        <v>1</v>
      </c>
      <c r="M3" s="24">
        <v>1</v>
      </c>
      <c r="N3" s="27">
        <v>2</v>
      </c>
      <c r="O3" s="24">
        <v>1</v>
      </c>
      <c r="P3" s="25">
        <v>0.5</v>
      </c>
      <c r="Q3" s="24">
        <v>1</v>
      </c>
      <c r="R3" s="24">
        <v>1</v>
      </c>
      <c r="S3" s="24">
        <v>1</v>
      </c>
    </row>
    <row r="4" spans="1:19" x14ac:dyDescent="0.25">
      <c r="A4" s="5" t="s">
        <v>213</v>
      </c>
      <c r="B4" s="24">
        <v>1</v>
      </c>
      <c r="C4" s="27">
        <v>2</v>
      </c>
      <c r="D4" s="25">
        <v>0.5</v>
      </c>
      <c r="E4" s="24">
        <v>1</v>
      </c>
      <c r="F4" s="25">
        <v>0.5</v>
      </c>
      <c r="G4" s="24">
        <v>1</v>
      </c>
      <c r="H4" s="24">
        <v>1</v>
      </c>
      <c r="I4" s="24">
        <v>1</v>
      </c>
      <c r="J4" s="27">
        <v>2</v>
      </c>
      <c r="K4" s="24">
        <v>1</v>
      </c>
      <c r="L4" s="24">
        <v>1</v>
      </c>
      <c r="M4" s="24">
        <v>1</v>
      </c>
      <c r="N4" s="27">
        <v>2</v>
      </c>
      <c r="O4" s="24">
        <v>1</v>
      </c>
      <c r="P4" s="25">
        <v>0.5</v>
      </c>
      <c r="Q4" s="24">
        <v>1</v>
      </c>
      <c r="R4" s="24">
        <v>1</v>
      </c>
      <c r="S4" s="24">
        <v>1</v>
      </c>
    </row>
    <row r="5" spans="1:19" x14ac:dyDescent="0.25">
      <c r="A5" s="6" t="s">
        <v>214</v>
      </c>
      <c r="B5" s="24">
        <v>1</v>
      </c>
      <c r="C5" s="24">
        <v>1</v>
      </c>
      <c r="D5" s="27">
        <v>2</v>
      </c>
      <c r="E5" s="25">
        <v>0.5</v>
      </c>
      <c r="F5" s="25">
        <v>0.5</v>
      </c>
      <c r="G5" s="24">
        <v>1</v>
      </c>
      <c r="H5" s="24">
        <v>1</v>
      </c>
      <c r="I5" s="24">
        <v>1</v>
      </c>
      <c r="J5" s="26">
        <v>0</v>
      </c>
      <c r="K5" s="27">
        <v>2</v>
      </c>
      <c r="L5" s="24">
        <v>1</v>
      </c>
      <c r="M5" s="24">
        <v>1</v>
      </c>
      <c r="N5" s="24">
        <v>1</v>
      </c>
      <c r="O5" s="24">
        <v>1</v>
      </c>
      <c r="P5" s="25">
        <v>0.5</v>
      </c>
      <c r="Q5" s="24">
        <v>1</v>
      </c>
      <c r="R5" s="24">
        <v>1</v>
      </c>
      <c r="S5" s="24">
        <v>1</v>
      </c>
    </row>
    <row r="6" spans="1:19" x14ac:dyDescent="0.25">
      <c r="A6" s="7" t="s">
        <v>215</v>
      </c>
      <c r="B6" s="24">
        <v>1</v>
      </c>
      <c r="C6" s="25">
        <v>0.5</v>
      </c>
      <c r="D6" s="27">
        <v>2</v>
      </c>
      <c r="E6" s="24">
        <v>1</v>
      </c>
      <c r="F6" s="25">
        <v>0.5</v>
      </c>
      <c r="G6" s="24">
        <v>1</v>
      </c>
      <c r="H6" s="24">
        <v>1</v>
      </c>
      <c r="I6" s="25">
        <v>0.5</v>
      </c>
      <c r="J6" s="27">
        <v>2</v>
      </c>
      <c r="K6" s="25">
        <v>0.5</v>
      </c>
      <c r="L6" s="24">
        <v>1</v>
      </c>
      <c r="M6" s="25">
        <v>0.5</v>
      </c>
      <c r="N6" s="27">
        <v>2</v>
      </c>
      <c r="O6" s="24">
        <v>1</v>
      </c>
      <c r="P6" s="25">
        <v>0.5</v>
      </c>
      <c r="Q6" s="24">
        <v>1</v>
      </c>
      <c r="R6" s="25">
        <v>0.5</v>
      </c>
      <c r="S6" s="24">
        <v>1</v>
      </c>
    </row>
    <row r="7" spans="1:19" x14ac:dyDescent="0.25">
      <c r="A7" s="8" t="s">
        <v>216</v>
      </c>
      <c r="B7" s="24">
        <v>1</v>
      </c>
      <c r="C7" s="25">
        <v>0.5</v>
      </c>
      <c r="D7" s="25">
        <v>0.5</v>
      </c>
      <c r="E7" s="24">
        <v>1</v>
      </c>
      <c r="F7" s="27">
        <v>2</v>
      </c>
      <c r="G7" s="25">
        <v>0.5</v>
      </c>
      <c r="H7" s="24">
        <v>1</v>
      </c>
      <c r="I7" s="24">
        <v>1</v>
      </c>
      <c r="J7" s="27">
        <v>2</v>
      </c>
      <c r="K7" s="27">
        <v>2</v>
      </c>
      <c r="L7" s="24">
        <v>1</v>
      </c>
      <c r="M7" s="24">
        <v>1</v>
      </c>
      <c r="N7" s="27">
        <v>1</v>
      </c>
      <c r="O7" s="24">
        <v>1</v>
      </c>
      <c r="P7" s="27">
        <v>2</v>
      </c>
      <c r="Q7" s="24">
        <v>1</v>
      </c>
      <c r="R7" s="25">
        <v>0.5</v>
      </c>
      <c r="S7" s="24">
        <v>1</v>
      </c>
    </row>
    <row r="8" spans="1:19" x14ac:dyDescent="0.25">
      <c r="A8" s="9" t="s">
        <v>217</v>
      </c>
      <c r="B8" s="27">
        <v>2</v>
      </c>
      <c r="C8" s="24">
        <v>1</v>
      </c>
      <c r="D8" s="28">
        <v>1</v>
      </c>
      <c r="E8" s="24">
        <v>1</v>
      </c>
      <c r="F8" s="28">
        <v>1</v>
      </c>
      <c r="G8" s="27">
        <v>2</v>
      </c>
      <c r="H8" s="28">
        <v>1</v>
      </c>
      <c r="I8" s="25">
        <v>0.5</v>
      </c>
      <c r="J8" s="28">
        <v>1</v>
      </c>
      <c r="K8" s="25">
        <v>0.5</v>
      </c>
      <c r="L8" s="25">
        <v>0.5</v>
      </c>
      <c r="M8" s="25">
        <v>0.5</v>
      </c>
      <c r="N8" s="27">
        <v>2</v>
      </c>
      <c r="O8" s="26">
        <v>0</v>
      </c>
      <c r="P8" s="28">
        <v>1</v>
      </c>
      <c r="Q8" s="27">
        <v>2</v>
      </c>
      <c r="R8" s="27">
        <v>2</v>
      </c>
      <c r="S8" s="24">
        <v>1</v>
      </c>
    </row>
    <row r="9" spans="1:19" x14ac:dyDescent="0.25">
      <c r="A9" s="10" t="s">
        <v>218</v>
      </c>
      <c r="B9" s="24">
        <v>1</v>
      </c>
      <c r="C9" s="24">
        <v>1</v>
      </c>
      <c r="D9" s="24">
        <v>1</v>
      </c>
      <c r="E9" s="24">
        <v>1</v>
      </c>
      <c r="F9" s="27">
        <v>2</v>
      </c>
      <c r="G9" s="24">
        <v>1</v>
      </c>
      <c r="H9" s="24">
        <v>1</v>
      </c>
      <c r="I9" s="25">
        <v>0.5</v>
      </c>
      <c r="J9" s="25">
        <v>0.5</v>
      </c>
      <c r="K9" s="24">
        <v>1</v>
      </c>
      <c r="L9" s="24">
        <v>1</v>
      </c>
      <c r="M9" s="24">
        <v>1</v>
      </c>
      <c r="N9" s="25">
        <v>0.5</v>
      </c>
      <c r="O9" s="25">
        <v>0.5</v>
      </c>
      <c r="P9" s="24">
        <v>1</v>
      </c>
      <c r="Q9" s="24">
        <v>1</v>
      </c>
      <c r="R9" s="26">
        <v>0</v>
      </c>
      <c r="S9" s="24">
        <v>1</v>
      </c>
    </row>
    <row r="10" spans="1:19" x14ac:dyDescent="0.25">
      <c r="A10" s="11" t="s">
        <v>219</v>
      </c>
      <c r="B10" s="24">
        <v>1</v>
      </c>
      <c r="C10" s="27">
        <v>2</v>
      </c>
      <c r="D10" s="24">
        <v>1</v>
      </c>
      <c r="E10" s="27">
        <v>2</v>
      </c>
      <c r="F10" s="25">
        <v>0.5</v>
      </c>
      <c r="G10" s="24">
        <v>1</v>
      </c>
      <c r="H10" s="24">
        <v>1</v>
      </c>
      <c r="I10" s="27">
        <v>2</v>
      </c>
      <c r="J10" s="24">
        <v>1</v>
      </c>
      <c r="K10" s="26">
        <v>0</v>
      </c>
      <c r="L10" s="24">
        <v>1</v>
      </c>
      <c r="M10" s="25">
        <v>0.5</v>
      </c>
      <c r="N10" s="27">
        <v>2</v>
      </c>
      <c r="O10" s="24">
        <v>1</v>
      </c>
      <c r="P10" s="24">
        <v>1</v>
      </c>
      <c r="Q10" s="24">
        <v>1</v>
      </c>
      <c r="R10" s="27">
        <v>2</v>
      </c>
      <c r="S10" s="24">
        <v>1</v>
      </c>
    </row>
    <row r="11" spans="1:19" x14ac:dyDescent="0.25">
      <c r="A11" s="12" t="s">
        <v>220</v>
      </c>
      <c r="B11" s="24">
        <v>1</v>
      </c>
      <c r="C11" s="24">
        <v>1</v>
      </c>
      <c r="D11" s="24">
        <v>1</v>
      </c>
      <c r="E11" s="25">
        <v>0.5</v>
      </c>
      <c r="F11" s="27">
        <v>2</v>
      </c>
      <c r="G11" s="24">
        <v>1</v>
      </c>
      <c r="H11" s="27">
        <v>2</v>
      </c>
      <c r="I11" s="24">
        <v>1</v>
      </c>
      <c r="J11" s="24">
        <v>1</v>
      </c>
      <c r="K11" s="24">
        <v>1</v>
      </c>
      <c r="L11" s="24">
        <v>1</v>
      </c>
      <c r="M11" s="27">
        <v>2</v>
      </c>
      <c r="N11" s="25">
        <v>0.5</v>
      </c>
      <c r="O11" s="24">
        <v>1</v>
      </c>
      <c r="P11" s="24">
        <v>1</v>
      </c>
      <c r="Q11" s="24">
        <v>1</v>
      </c>
      <c r="R11" s="25">
        <v>0.5</v>
      </c>
      <c r="S11" s="24">
        <v>1</v>
      </c>
    </row>
    <row r="12" spans="1:19" x14ac:dyDescent="0.25">
      <c r="A12" s="13" t="s">
        <v>221</v>
      </c>
      <c r="B12" s="24">
        <v>1</v>
      </c>
      <c r="C12" s="24">
        <v>1</v>
      </c>
      <c r="D12" s="24">
        <v>1</v>
      </c>
      <c r="E12" s="24">
        <v>1</v>
      </c>
      <c r="F12" s="24">
        <v>1</v>
      </c>
      <c r="G12" s="24">
        <v>1</v>
      </c>
      <c r="H12" s="27">
        <v>2</v>
      </c>
      <c r="I12" s="27">
        <v>2</v>
      </c>
      <c r="J12" s="24">
        <v>1</v>
      </c>
      <c r="K12" s="24">
        <v>1</v>
      </c>
      <c r="L12" s="25">
        <v>0.5</v>
      </c>
      <c r="M12" s="24">
        <v>1</v>
      </c>
      <c r="N12" s="24">
        <v>1</v>
      </c>
      <c r="O12" s="24">
        <v>1</v>
      </c>
      <c r="P12" s="24">
        <v>1</v>
      </c>
      <c r="Q12" s="26">
        <v>0</v>
      </c>
      <c r="R12" s="25">
        <v>0.5</v>
      </c>
      <c r="S12" s="24">
        <v>1</v>
      </c>
    </row>
    <row r="13" spans="1:19" x14ac:dyDescent="0.25">
      <c r="A13" s="14" t="s">
        <v>222</v>
      </c>
      <c r="B13" s="24">
        <v>1</v>
      </c>
      <c r="C13" s="25">
        <v>0.5</v>
      </c>
      <c r="D13" s="24">
        <v>1</v>
      </c>
      <c r="E13" s="24">
        <v>1</v>
      </c>
      <c r="F13" s="27">
        <v>2</v>
      </c>
      <c r="G13" s="24">
        <v>1</v>
      </c>
      <c r="H13" s="25">
        <v>0.5</v>
      </c>
      <c r="I13" s="25">
        <v>0.5</v>
      </c>
      <c r="J13" s="24">
        <v>1</v>
      </c>
      <c r="K13" s="25">
        <v>0.5</v>
      </c>
      <c r="L13" s="27">
        <v>2</v>
      </c>
      <c r="M13" s="24">
        <v>1</v>
      </c>
      <c r="N13" s="24">
        <v>1</v>
      </c>
      <c r="O13" s="25">
        <v>0.5</v>
      </c>
      <c r="P13" s="24">
        <v>1</v>
      </c>
      <c r="Q13" s="27">
        <v>2</v>
      </c>
      <c r="R13" s="25">
        <v>0.5</v>
      </c>
      <c r="S13" s="24">
        <v>1</v>
      </c>
    </row>
    <row r="14" spans="1:19" x14ac:dyDescent="0.25">
      <c r="A14" s="15" t="s">
        <v>223</v>
      </c>
      <c r="B14" s="24">
        <v>1</v>
      </c>
      <c r="C14" s="27">
        <v>2</v>
      </c>
      <c r="D14" s="24">
        <v>1</v>
      </c>
      <c r="E14" s="24">
        <v>1</v>
      </c>
      <c r="F14" s="24">
        <v>1</v>
      </c>
      <c r="G14" s="27">
        <v>2</v>
      </c>
      <c r="H14" s="25">
        <v>0.5</v>
      </c>
      <c r="I14" s="24">
        <v>1</v>
      </c>
      <c r="J14" s="25">
        <v>0.5</v>
      </c>
      <c r="K14" s="27">
        <v>2</v>
      </c>
      <c r="L14" s="24">
        <v>1</v>
      </c>
      <c r="M14" s="27">
        <v>2</v>
      </c>
      <c r="N14" s="24">
        <v>1</v>
      </c>
      <c r="O14" s="24">
        <v>1</v>
      </c>
      <c r="P14" s="24">
        <v>1</v>
      </c>
      <c r="Q14" s="24">
        <v>1</v>
      </c>
      <c r="R14" s="25">
        <v>0.5</v>
      </c>
      <c r="S14" s="24">
        <v>1</v>
      </c>
    </row>
    <row r="15" spans="1:19" x14ac:dyDescent="0.25">
      <c r="A15" s="16" t="s">
        <v>224</v>
      </c>
      <c r="B15" s="26">
        <v>0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7">
        <v>2</v>
      </c>
      <c r="M15" s="24">
        <v>1</v>
      </c>
      <c r="N15" s="24">
        <v>1</v>
      </c>
      <c r="O15" s="27">
        <v>2</v>
      </c>
      <c r="P15" s="24">
        <v>1</v>
      </c>
      <c r="Q15" s="25">
        <v>0.5</v>
      </c>
      <c r="R15" s="25">
        <v>0.5</v>
      </c>
      <c r="S15" s="24">
        <v>1</v>
      </c>
    </row>
    <row r="16" spans="1:19" x14ac:dyDescent="0.25">
      <c r="A16" s="17" t="s">
        <v>225</v>
      </c>
      <c r="B16" s="24">
        <v>1</v>
      </c>
      <c r="C16" s="24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7">
        <v>2</v>
      </c>
      <c r="Q16" s="24">
        <v>1</v>
      </c>
      <c r="R16" s="25">
        <v>0.5</v>
      </c>
      <c r="S16" s="24">
        <v>1</v>
      </c>
    </row>
    <row r="17" spans="1:19" x14ac:dyDescent="0.25">
      <c r="A17" s="18" t="s">
        <v>226</v>
      </c>
      <c r="B17" s="24">
        <v>1</v>
      </c>
      <c r="C17" s="24">
        <v>1</v>
      </c>
      <c r="D17" s="24">
        <v>1</v>
      </c>
      <c r="E17" s="24">
        <v>1</v>
      </c>
      <c r="F17" s="24">
        <v>1</v>
      </c>
      <c r="G17" s="24">
        <v>1</v>
      </c>
      <c r="H17" s="25">
        <v>0.5</v>
      </c>
      <c r="I17" s="24">
        <v>1</v>
      </c>
      <c r="J17" s="24">
        <v>1</v>
      </c>
      <c r="K17" s="24">
        <v>1</v>
      </c>
      <c r="L17" s="27">
        <v>2</v>
      </c>
      <c r="M17" s="24">
        <v>1</v>
      </c>
      <c r="N17" s="24">
        <v>1</v>
      </c>
      <c r="O17" s="27">
        <v>2</v>
      </c>
      <c r="P17" s="24">
        <v>1</v>
      </c>
      <c r="Q17" s="25">
        <v>0.5</v>
      </c>
      <c r="R17" s="25">
        <v>0.5</v>
      </c>
      <c r="S17" s="24">
        <v>1</v>
      </c>
    </row>
    <row r="18" spans="1:19" x14ac:dyDescent="0.25">
      <c r="A18" s="19" t="s">
        <v>227</v>
      </c>
      <c r="B18" s="24">
        <v>1</v>
      </c>
      <c r="C18" s="25">
        <v>0.5</v>
      </c>
      <c r="D18" s="25">
        <v>0.5</v>
      </c>
      <c r="E18" s="25">
        <v>0.5</v>
      </c>
      <c r="F18" s="24">
        <v>1</v>
      </c>
      <c r="G18" s="27">
        <v>2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7">
        <v>2</v>
      </c>
      <c r="O18" s="24">
        <v>1</v>
      </c>
      <c r="P18" s="24">
        <v>1</v>
      </c>
      <c r="Q18" s="24">
        <v>1</v>
      </c>
      <c r="R18" s="25">
        <v>0.5</v>
      </c>
      <c r="S18" s="24">
        <v>1</v>
      </c>
    </row>
    <row r="19" spans="1:19" x14ac:dyDescent="0.25">
      <c r="A19" s="2" t="s">
        <v>228</v>
      </c>
      <c r="B19" s="24">
        <v>1</v>
      </c>
      <c r="C19" s="24">
        <v>1</v>
      </c>
      <c r="D19" s="24">
        <v>1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1</v>
      </c>
      <c r="R19" s="24">
        <v>1</v>
      </c>
      <c r="S19" s="24">
        <v>1</v>
      </c>
    </row>
    <row r="21" spans="1:19" x14ac:dyDescent="0.25">
      <c r="A21" s="21" t="s">
        <v>231</v>
      </c>
    </row>
    <row r="22" spans="1:19" x14ac:dyDescent="0.25">
      <c r="A22" s="2" t="s">
        <v>232</v>
      </c>
    </row>
    <row r="23" spans="1:19" x14ac:dyDescent="0.25">
      <c r="A23" s="20" t="s">
        <v>229</v>
      </c>
    </row>
    <row r="24" spans="1:19" x14ac:dyDescent="0.25">
      <c r="A24" s="22" t="s">
        <v>230</v>
      </c>
    </row>
    <row r="27" spans="1:19" x14ac:dyDescent="0.25">
      <c r="A27" t="s">
        <v>247</v>
      </c>
    </row>
    <row r="28" spans="1:19" x14ac:dyDescent="0.25">
      <c r="A28" t="s">
        <v>248</v>
      </c>
    </row>
    <row r="29" spans="1:19" x14ac:dyDescent="0.25">
      <c r="A29" t="s">
        <v>249</v>
      </c>
    </row>
    <row r="30" spans="1:19" x14ac:dyDescent="0.25">
      <c r="A30" t="s">
        <v>250</v>
      </c>
    </row>
    <row r="31" spans="1:19" x14ac:dyDescent="0.25">
      <c r="A31" t="s">
        <v>251</v>
      </c>
    </row>
    <row r="32" spans="1:19" x14ac:dyDescent="0.25">
      <c r="A32" t="s">
        <v>177</v>
      </c>
    </row>
    <row r="33" spans="1:1" x14ac:dyDescent="0.25">
      <c r="A33" t="s">
        <v>178</v>
      </c>
    </row>
    <row r="34" spans="1:1" x14ac:dyDescent="0.25">
      <c r="A34" t="s">
        <v>179</v>
      </c>
    </row>
    <row r="35" spans="1:1" x14ac:dyDescent="0.25">
      <c r="A35" t="s">
        <v>180</v>
      </c>
    </row>
    <row r="36" spans="1:1" x14ac:dyDescent="0.25">
      <c r="A36" t="s">
        <v>181</v>
      </c>
    </row>
    <row r="37" spans="1:1" x14ac:dyDescent="0.25">
      <c r="A37" t="s">
        <v>182</v>
      </c>
    </row>
    <row r="38" spans="1:1" x14ac:dyDescent="0.25">
      <c r="A38" t="s">
        <v>183</v>
      </c>
    </row>
    <row r="39" spans="1:1" x14ac:dyDescent="0.25">
      <c r="A39" t="s">
        <v>184</v>
      </c>
    </row>
    <row r="40" spans="1:1" x14ac:dyDescent="0.25">
      <c r="A40" t="s">
        <v>185</v>
      </c>
    </row>
    <row r="41" spans="1:1" x14ac:dyDescent="0.25">
      <c r="A41" t="s">
        <v>186</v>
      </c>
    </row>
    <row r="42" spans="1:1" x14ac:dyDescent="0.25">
      <c r="A42" t="s">
        <v>187</v>
      </c>
    </row>
    <row r="43" spans="1:1" x14ac:dyDescent="0.25">
      <c r="A43" t="s">
        <v>188</v>
      </c>
    </row>
    <row r="44" spans="1:1" x14ac:dyDescent="0.25">
      <c r="A44" t="s">
        <v>189</v>
      </c>
    </row>
    <row r="45" spans="1:1" x14ac:dyDescent="0.25">
      <c r="A45" t="s">
        <v>190</v>
      </c>
    </row>
    <row r="46" spans="1:1" x14ac:dyDescent="0.25">
      <c r="A46" t="s">
        <v>191</v>
      </c>
    </row>
    <row r="47" spans="1:1" x14ac:dyDescent="0.25">
      <c r="A47" t="s">
        <v>192</v>
      </c>
    </row>
    <row r="48" spans="1:1" x14ac:dyDescent="0.25">
      <c r="A48" t="s">
        <v>193</v>
      </c>
    </row>
    <row r="49" spans="1:1" x14ac:dyDescent="0.25">
      <c r="A49" t="s">
        <v>252</v>
      </c>
    </row>
    <row r="50" spans="1:1" x14ac:dyDescent="0.25">
      <c r="A50" t="s">
        <v>253</v>
      </c>
    </row>
    <row r="51" spans="1:1" x14ac:dyDescent="0.25">
      <c r="A51" t="s">
        <v>254</v>
      </c>
    </row>
    <row r="52" spans="1:1" x14ac:dyDescent="0.25">
      <c r="A52" t="s">
        <v>255</v>
      </c>
    </row>
    <row r="53" spans="1:1" x14ac:dyDescent="0.25">
      <c r="A53" t="s">
        <v>256</v>
      </c>
    </row>
    <row r="54" spans="1:1" x14ac:dyDescent="0.25">
      <c r="A54" t="s">
        <v>257</v>
      </c>
    </row>
    <row r="55" spans="1:1" x14ac:dyDescent="0.25">
      <c r="A55" t="s">
        <v>258</v>
      </c>
    </row>
    <row r="56" spans="1:1" x14ac:dyDescent="0.25">
      <c r="A56" t="s">
        <v>259</v>
      </c>
    </row>
    <row r="57" spans="1:1" x14ac:dyDescent="0.25">
      <c r="A57" t="s">
        <v>260</v>
      </c>
    </row>
    <row r="58" spans="1:1" x14ac:dyDescent="0.25">
      <c r="A58" t="s">
        <v>261</v>
      </c>
    </row>
    <row r="59" spans="1:1" x14ac:dyDescent="0.25">
      <c r="A59" t="s">
        <v>262</v>
      </c>
    </row>
    <row r="60" spans="1:1" x14ac:dyDescent="0.25">
      <c r="A60" t="s">
        <v>263</v>
      </c>
    </row>
    <row r="61" spans="1:1" x14ac:dyDescent="0.25">
      <c r="A61" t="s">
        <v>264</v>
      </c>
    </row>
    <row r="62" spans="1:1" x14ac:dyDescent="0.25">
      <c r="A62" t="s">
        <v>265</v>
      </c>
    </row>
    <row r="63" spans="1:1" x14ac:dyDescent="0.25">
      <c r="A63" t="s">
        <v>266</v>
      </c>
    </row>
    <row r="64" spans="1:1" x14ac:dyDescent="0.25">
      <c r="A64" t="s">
        <v>267</v>
      </c>
    </row>
    <row r="65" spans="1:1" x14ac:dyDescent="0.25">
      <c r="A65" t="s">
        <v>268</v>
      </c>
    </row>
    <row r="66" spans="1:1" x14ac:dyDescent="0.25">
      <c r="A66" t="s">
        <v>269</v>
      </c>
    </row>
    <row r="67" spans="1:1" x14ac:dyDescent="0.25">
      <c r="A67" t="s">
        <v>270</v>
      </c>
    </row>
    <row r="68" spans="1:1" x14ac:dyDescent="0.25">
      <c r="A68" t="s">
        <v>271</v>
      </c>
    </row>
    <row r="69" spans="1:1" x14ac:dyDescent="0.25">
      <c r="A69" t="s">
        <v>272</v>
      </c>
    </row>
    <row r="70" spans="1:1" x14ac:dyDescent="0.25">
      <c r="A70" t="s">
        <v>252</v>
      </c>
    </row>
    <row r="71" spans="1:1" x14ac:dyDescent="0.25">
      <c r="A71" t="s">
        <v>273</v>
      </c>
    </row>
    <row r="72" spans="1:1" x14ac:dyDescent="0.25">
      <c r="A72" t="s">
        <v>274</v>
      </c>
    </row>
    <row r="73" spans="1:1" x14ac:dyDescent="0.25">
      <c r="A73" t="s">
        <v>275</v>
      </c>
    </row>
    <row r="74" spans="1:1" x14ac:dyDescent="0.25">
      <c r="A74" t="s">
        <v>275</v>
      </c>
    </row>
    <row r="75" spans="1:1" x14ac:dyDescent="0.25">
      <c r="A75" t="s">
        <v>275</v>
      </c>
    </row>
    <row r="76" spans="1:1" x14ac:dyDescent="0.25">
      <c r="A76" t="s">
        <v>275</v>
      </c>
    </row>
    <row r="77" spans="1:1" x14ac:dyDescent="0.25">
      <c r="A77" t="s">
        <v>275</v>
      </c>
    </row>
    <row r="78" spans="1:1" x14ac:dyDescent="0.25">
      <c r="A78" t="s">
        <v>274</v>
      </c>
    </row>
    <row r="79" spans="1:1" x14ac:dyDescent="0.25">
      <c r="A79" t="s">
        <v>274</v>
      </c>
    </row>
    <row r="80" spans="1:1" x14ac:dyDescent="0.25">
      <c r="A80" t="s">
        <v>274</v>
      </c>
    </row>
    <row r="81" spans="1:2" x14ac:dyDescent="0.25">
      <c r="A81" t="s">
        <v>274</v>
      </c>
    </row>
    <row r="82" spans="1:2" x14ac:dyDescent="0.25">
      <c r="A82" t="s">
        <v>275</v>
      </c>
    </row>
    <row r="83" spans="1:2" x14ac:dyDescent="0.25">
      <c r="A83" t="s">
        <v>274</v>
      </c>
    </row>
    <row r="84" spans="1:2" x14ac:dyDescent="0.25">
      <c r="A84" t="s">
        <v>274</v>
      </c>
    </row>
    <row r="85" spans="1:2" x14ac:dyDescent="0.25">
      <c r="A85" t="s">
        <v>274</v>
      </c>
    </row>
    <row r="86" spans="1:2" x14ac:dyDescent="0.25">
      <c r="A86" t="s">
        <v>275</v>
      </c>
    </row>
    <row r="87" spans="1:2" x14ac:dyDescent="0.25">
      <c r="A87" t="s">
        <v>275</v>
      </c>
    </row>
    <row r="88" spans="1:2" x14ac:dyDescent="0.25">
      <c r="A88" t="s">
        <v>274</v>
      </c>
    </row>
    <row r="89" spans="1:2" x14ac:dyDescent="0.25">
      <c r="A89" t="s">
        <v>276</v>
      </c>
    </row>
    <row r="90" spans="1:2" x14ac:dyDescent="0.25">
      <c r="A90" t="s">
        <v>272</v>
      </c>
    </row>
    <row r="91" spans="1:2" x14ac:dyDescent="0.25">
      <c r="A91" t="s">
        <v>252</v>
      </c>
    </row>
    <row r="92" spans="1:2" x14ac:dyDescent="0.25">
      <c r="A92" t="s">
        <v>277</v>
      </c>
    </row>
    <row r="93" spans="1:2" x14ac:dyDescent="0.25">
      <c r="A93" t="s">
        <v>278</v>
      </c>
    </row>
    <row r="94" spans="1:2" x14ac:dyDescent="0.25">
      <c r="B94" t="s">
        <v>194</v>
      </c>
    </row>
    <row r="95" spans="1:2" x14ac:dyDescent="0.25">
      <c r="B95" t="s">
        <v>195</v>
      </c>
    </row>
    <row r="96" spans="1:2" x14ac:dyDescent="0.25">
      <c r="B96" t="s">
        <v>196</v>
      </c>
    </row>
    <row r="97" spans="1:2" x14ac:dyDescent="0.25">
      <c r="B97" t="s">
        <v>197</v>
      </c>
    </row>
    <row r="98" spans="1:2" x14ac:dyDescent="0.25">
      <c r="B98" t="s">
        <v>198</v>
      </c>
    </row>
    <row r="99" spans="1:2" x14ac:dyDescent="0.25">
      <c r="B99" t="s">
        <v>199</v>
      </c>
    </row>
    <row r="100" spans="1:2" x14ac:dyDescent="0.25">
      <c r="B100" t="s">
        <v>200</v>
      </c>
    </row>
    <row r="101" spans="1:2" x14ac:dyDescent="0.25">
      <c r="B101" t="s">
        <v>201</v>
      </c>
    </row>
    <row r="102" spans="1:2" x14ac:dyDescent="0.25">
      <c r="B102" t="s">
        <v>202</v>
      </c>
    </row>
    <row r="103" spans="1:2" x14ac:dyDescent="0.25">
      <c r="B103" t="s">
        <v>203</v>
      </c>
    </row>
    <row r="104" spans="1:2" x14ac:dyDescent="0.25">
      <c r="B104" t="s">
        <v>204</v>
      </c>
    </row>
    <row r="105" spans="1:2" x14ac:dyDescent="0.25">
      <c r="B105" t="s">
        <v>205</v>
      </c>
    </row>
    <row r="106" spans="1:2" x14ac:dyDescent="0.25">
      <c r="B106" t="s">
        <v>206</v>
      </c>
    </row>
    <row r="107" spans="1:2" x14ac:dyDescent="0.25">
      <c r="B107" t="s">
        <v>207</v>
      </c>
    </row>
    <row r="108" spans="1:2" x14ac:dyDescent="0.25">
      <c r="B108" t="s">
        <v>208</v>
      </c>
    </row>
    <row r="109" spans="1:2" x14ac:dyDescent="0.25">
      <c r="B109" t="s">
        <v>209</v>
      </c>
    </row>
    <row r="110" spans="1:2" x14ac:dyDescent="0.25">
      <c r="A110" t="s">
        <v>210</v>
      </c>
    </row>
    <row r="111" spans="1:2" x14ac:dyDescent="0.25">
      <c r="A111" t="s">
        <v>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02"/>
  <sheetViews>
    <sheetView workbookViewId="0">
      <selection activeCell="E7" sqref="E7"/>
    </sheetView>
  </sheetViews>
  <sheetFormatPr defaultRowHeight="15" x14ac:dyDescent="0.25"/>
  <cols>
    <col min="1" max="1" width="3.7109375" bestFit="1" customWidth="1"/>
    <col min="2" max="8" width="16.140625" bestFit="1" customWidth="1"/>
    <col min="9" max="10" width="15.140625" bestFit="1" customWidth="1"/>
    <col min="13" max="18" width="18.5703125" bestFit="1" customWidth="1"/>
    <col min="19" max="20" width="16.140625" bestFit="1" customWidth="1"/>
    <col min="43" max="44" width="10.28515625" bestFit="1" customWidth="1"/>
    <col min="46" max="46" width="9" bestFit="1" customWidth="1"/>
    <col min="47" max="47" width="13.7109375" bestFit="1" customWidth="1"/>
    <col min="48" max="48" width="9" bestFit="1" customWidth="1"/>
    <col min="49" max="49" width="9" customWidth="1"/>
    <col min="50" max="50" width="12.7109375" bestFit="1" customWidth="1"/>
    <col min="51" max="51" width="9" bestFit="1" customWidth="1"/>
    <col min="52" max="52" width="10.85546875" bestFit="1" customWidth="1"/>
    <col min="53" max="53" width="9" bestFit="1" customWidth="1"/>
    <col min="54" max="54" width="9.28515625" bestFit="1" customWidth="1"/>
    <col min="55" max="55" width="9.42578125" bestFit="1" customWidth="1"/>
    <col min="56" max="57" width="8" bestFit="1" customWidth="1"/>
    <col min="58" max="58" width="10.28515625" bestFit="1" customWidth="1"/>
    <col min="59" max="59" width="9" bestFit="1" customWidth="1"/>
    <col min="60" max="60" width="9.42578125" bestFit="1" customWidth="1"/>
    <col min="63" max="64" width="9" bestFit="1" customWidth="1"/>
    <col min="66" max="66" width="9" bestFit="1" customWidth="1"/>
  </cols>
  <sheetData>
    <row r="1" spans="1:102" ht="15.75" thickBot="1" x14ac:dyDescent="0.3">
      <c r="A1" t="s">
        <v>279</v>
      </c>
      <c r="B1">
        <f>SUM(-50)</f>
        <v>-50</v>
      </c>
      <c r="C1">
        <f>SUM(B1,1)</f>
        <v>-49</v>
      </c>
      <c r="D1">
        <f t="shared" ref="D1:BO1" si="0">SUM(C1,1)</f>
        <v>-48</v>
      </c>
      <c r="E1">
        <f t="shared" si="0"/>
        <v>-47</v>
      </c>
      <c r="F1">
        <f t="shared" si="0"/>
        <v>-46</v>
      </c>
      <c r="G1">
        <f t="shared" si="0"/>
        <v>-45</v>
      </c>
      <c r="H1">
        <f t="shared" si="0"/>
        <v>-44</v>
      </c>
      <c r="I1">
        <f t="shared" si="0"/>
        <v>-43</v>
      </c>
      <c r="J1">
        <f t="shared" si="0"/>
        <v>-42</v>
      </c>
      <c r="K1">
        <f t="shared" si="0"/>
        <v>-41</v>
      </c>
      <c r="L1">
        <f t="shared" si="0"/>
        <v>-40</v>
      </c>
      <c r="M1">
        <f t="shared" si="0"/>
        <v>-39</v>
      </c>
      <c r="N1">
        <f t="shared" si="0"/>
        <v>-38</v>
      </c>
      <c r="O1">
        <f t="shared" si="0"/>
        <v>-37</v>
      </c>
      <c r="P1">
        <f t="shared" si="0"/>
        <v>-36</v>
      </c>
      <c r="Q1">
        <f t="shared" si="0"/>
        <v>-35</v>
      </c>
      <c r="R1">
        <f t="shared" si="0"/>
        <v>-34</v>
      </c>
      <c r="S1">
        <f t="shared" si="0"/>
        <v>-33</v>
      </c>
      <c r="T1">
        <f t="shared" si="0"/>
        <v>-32</v>
      </c>
      <c r="U1">
        <f t="shared" si="0"/>
        <v>-31</v>
      </c>
      <c r="V1">
        <f t="shared" si="0"/>
        <v>-30</v>
      </c>
      <c r="W1">
        <f t="shared" si="0"/>
        <v>-29</v>
      </c>
      <c r="X1">
        <f t="shared" si="0"/>
        <v>-28</v>
      </c>
      <c r="Y1">
        <f t="shared" si="0"/>
        <v>-27</v>
      </c>
      <c r="Z1">
        <f t="shared" si="0"/>
        <v>-26</v>
      </c>
      <c r="AA1">
        <f t="shared" si="0"/>
        <v>-25</v>
      </c>
      <c r="AB1">
        <f t="shared" si="0"/>
        <v>-24</v>
      </c>
      <c r="AC1">
        <f t="shared" si="0"/>
        <v>-23</v>
      </c>
      <c r="AD1">
        <f t="shared" si="0"/>
        <v>-22</v>
      </c>
      <c r="AE1">
        <f t="shared" si="0"/>
        <v>-21</v>
      </c>
      <c r="AF1">
        <f t="shared" si="0"/>
        <v>-20</v>
      </c>
      <c r="AG1">
        <f t="shared" si="0"/>
        <v>-19</v>
      </c>
      <c r="AH1">
        <f t="shared" si="0"/>
        <v>-18</v>
      </c>
      <c r="AI1">
        <f t="shared" si="0"/>
        <v>-17</v>
      </c>
      <c r="AJ1">
        <f t="shared" si="0"/>
        <v>-16</v>
      </c>
      <c r="AK1">
        <f t="shared" si="0"/>
        <v>-15</v>
      </c>
      <c r="AL1">
        <f t="shared" si="0"/>
        <v>-14</v>
      </c>
      <c r="AM1">
        <f t="shared" si="0"/>
        <v>-13</v>
      </c>
      <c r="AN1">
        <f t="shared" si="0"/>
        <v>-12</v>
      </c>
      <c r="AO1">
        <f t="shared" si="0"/>
        <v>-11</v>
      </c>
      <c r="AP1">
        <f t="shared" si="0"/>
        <v>-10</v>
      </c>
      <c r="AQ1">
        <f t="shared" si="0"/>
        <v>-9</v>
      </c>
      <c r="AR1">
        <f t="shared" si="0"/>
        <v>-8</v>
      </c>
      <c r="AS1">
        <f t="shared" si="0"/>
        <v>-7</v>
      </c>
      <c r="AT1">
        <f t="shared" si="0"/>
        <v>-6</v>
      </c>
      <c r="AU1">
        <f t="shared" si="0"/>
        <v>-5</v>
      </c>
      <c r="AV1">
        <f t="shared" si="0"/>
        <v>-4</v>
      </c>
      <c r="AW1">
        <f t="shared" si="0"/>
        <v>-3</v>
      </c>
      <c r="AX1">
        <f t="shared" si="0"/>
        <v>-2</v>
      </c>
      <c r="AY1">
        <f t="shared" si="0"/>
        <v>-1</v>
      </c>
      <c r="AZ1">
        <f t="shared" si="0"/>
        <v>0</v>
      </c>
      <c r="BA1">
        <f t="shared" si="0"/>
        <v>1</v>
      </c>
      <c r="BB1">
        <f t="shared" si="0"/>
        <v>2</v>
      </c>
      <c r="BC1">
        <f t="shared" si="0"/>
        <v>3</v>
      </c>
      <c r="BD1">
        <f t="shared" si="0"/>
        <v>4</v>
      </c>
      <c r="BE1">
        <f t="shared" si="0"/>
        <v>5</v>
      </c>
      <c r="BF1">
        <f t="shared" si="0"/>
        <v>6</v>
      </c>
      <c r="BG1">
        <f t="shared" si="0"/>
        <v>7</v>
      </c>
      <c r="BH1">
        <f t="shared" si="0"/>
        <v>8</v>
      </c>
      <c r="BI1">
        <f t="shared" si="0"/>
        <v>9</v>
      </c>
      <c r="BJ1">
        <f t="shared" si="0"/>
        <v>10</v>
      </c>
      <c r="BK1">
        <f t="shared" si="0"/>
        <v>11</v>
      </c>
      <c r="BL1">
        <f t="shared" si="0"/>
        <v>12</v>
      </c>
      <c r="BM1">
        <f t="shared" si="0"/>
        <v>13</v>
      </c>
      <c r="BN1">
        <f t="shared" si="0"/>
        <v>14</v>
      </c>
      <c r="BO1">
        <f t="shared" si="0"/>
        <v>15</v>
      </c>
      <c r="BP1">
        <f t="shared" ref="BP1:CX1" si="1">SUM(BO1,1)</f>
        <v>16</v>
      </c>
      <c r="BQ1">
        <f t="shared" si="1"/>
        <v>17</v>
      </c>
      <c r="BR1">
        <f t="shared" si="1"/>
        <v>18</v>
      </c>
      <c r="BS1">
        <f t="shared" si="1"/>
        <v>19</v>
      </c>
      <c r="BT1">
        <f t="shared" si="1"/>
        <v>20</v>
      </c>
      <c r="BU1">
        <f t="shared" si="1"/>
        <v>21</v>
      </c>
      <c r="BV1">
        <f t="shared" si="1"/>
        <v>22</v>
      </c>
      <c r="BW1">
        <f t="shared" si="1"/>
        <v>23</v>
      </c>
      <c r="BX1">
        <f t="shared" si="1"/>
        <v>24</v>
      </c>
      <c r="BY1">
        <f t="shared" si="1"/>
        <v>25</v>
      </c>
      <c r="BZ1">
        <f t="shared" si="1"/>
        <v>26</v>
      </c>
      <c r="CA1">
        <f t="shared" si="1"/>
        <v>27</v>
      </c>
      <c r="CB1">
        <f t="shared" si="1"/>
        <v>28</v>
      </c>
      <c r="CC1">
        <f t="shared" si="1"/>
        <v>29</v>
      </c>
      <c r="CD1">
        <f t="shared" si="1"/>
        <v>30</v>
      </c>
      <c r="CE1">
        <f t="shared" si="1"/>
        <v>31</v>
      </c>
      <c r="CF1">
        <f t="shared" si="1"/>
        <v>32</v>
      </c>
      <c r="CG1">
        <f t="shared" si="1"/>
        <v>33</v>
      </c>
      <c r="CH1">
        <f t="shared" si="1"/>
        <v>34</v>
      </c>
      <c r="CI1">
        <f t="shared" si="1"/>
        <v>35</v>
      </c>
      <c r="CJ1">
        <f t="shared" si="1"/>
        <v>36</v>
      </c>
      <c r="CK1">
        <f t="shared" si="1"/>
        <v>37</v>
      </c>
      <c r="CL1">
        <f t="shared" si="1"/>
        <v>38</v>
      </c>
      <c r="CM1">
        <f t="shared" si="1"/>
        <v>39</v>
      </c>
      <c r="CN1">
        <f t="shared" si="1"/>
        <v>40</v>
      </c>
      <c r="CO1">
        <f t="shared" si="1"/>
        <v>41</v>
      </c>
      <c r="CP1">
        <f t="shared" si="1"/>
        <v>42</v>
      </c>
      <c r="CQ1">
        <f t="shared" si="1"/>
        <v>43</v>
      </c>
      <c r="CR1">
        <f t="shared" si="1"/>
        <v>44</v>
      </c>
      <c r="CS1">
        <f t="shared" si="1"/>
        <v>45</v>
      </c>
      <c r="CT1">
        <f t="shared" si="1"/>
        <v>46</v>
      </c>
      <c r="CU1">
        <f t="shared" si="1"/>
        <v>47</v>
      </c>
      <c r="CV1">
        <f t="shared" si="1"/>
        <v>48</v>
      </c>
      <c r="CW1">
        <f t="shared" si="1"/>
        <v>49</v>
      </c>
      <c r="CX1">
        <f t="shared" si="1"/>
        <v>50</v>
      </c>
    </row>
    <row r="2" spans="1:102" ht="16.5" thickTop="1" thickBot="1" x14ac:dyDescent="0.3">
      <c r="A2">
        <f>SUM(-50)</f>
        <v>-50</v>
      </c>
      <c r="B2" s="29" t="s">
        <v>280</v>
      </c>
    </row>
    <row r="3" spans="1:102" ht="15.75" thickTop="1" x14ac:dyDescent="0.25">
      <c r="A3">
        <f>SUM(A2,1)</f>
        <v>-49</v>
      </c>
      <c r="P3" s="30" t="s">
        <v>281</v>
      </c>
    </row>
    <row r="4" spans="1:102" x14ac:dyDescent="0.25">
      <c r="A4">
        <f>SUM(A3,1)</f>
        <v>-48</v>
      </c>
    </row>
    <row r="5" spans="1:102" ht="15.75" thickBot="1" x14ac:dyDescent="0.3">
      <c r="A5">
        <f>SUM(A4,1)</f>
        <v>-47</v>
      </c>
    </row>
    <row r="6" spans="1:102" ht="16.5" thickTop="1" thickBot="1" x14ac:dyDescent="0.3">
      <c r="A6">
        <f t="shared" ref="A6:A69" si="2">SUM(A5,1)</f>
        <v>-46</v>
      </c>
      <c r="B6" s="31" t="s">
        <v>282</v>
      </c>
      <c r="C6" s="32" t="s">
        <v>283</v>
      </c>
      <c r="F6" s="29" t="s">
        <v>280</v>
      </c>
    </row>
    <row r="7" spans="1:102" ht="16.5" thickTop="1" thickBot="1" x14ac:dyDescent="0.3">
      <c r="A7">
        <f t="shared" si="2"/>
        <v>-45</v>
      </c>
      <c r="B7" s="31" t="s">
        <v>282</v>
      </c>
      <c r="G7" s="29" t="s">
        <v>280</v>
      </c>
    </row>
    <row r="8" spans="1:102" ht="16.5" thickTop="1" thickBot="1" x14ac:dyDescent="0.3">
      <c r="A8">
        <f t="shared" si="2"/>
        <v>-44</v>
      </c>
      <c r="B8" s="31" t="s">
        <v>282</v>
      </c>
      <c r="C8" s="32" t="s">
        <v>283</v>
      </c>
    </row>
    <row r="9" spans="1:102" ht="16.5" thickTop="1" thickBot="1" x14ac:dyDescent="0.3">
      <c r="A9">
        <f t="shared" si="2"/>
        <v>-43</v>
      </c>
      <c r="B9" s="33" t="s">
        <v>284</v>
      </c>
      <c r="I9" s="31" t="s">
        <v>285</v>
      </c>
      <c r="T9" s="29" t="s">
        <v>280</v>
      </c>
    </row>
    <row r="10" spans="1:102" ht="16.5" thickTop="1" thickBot="1" x14ac:dyDescent="0.3">
      <c r="A10">
        <f t="shared" si="2"/>
        <v>-42</v>
      </c>
      <c r="B10" s="33" t="s">
        <v>284</v>
      </c>
      <c r="C10" s="29" t="s">
        <v>280</v>
      </c>
      <c r="J10" s="31" t="s">
        <v>285</v>
      </c>
    </row>
    <row r="11" spans="1:102" ht="15.75" thickTop="1" x14ac:dyDescent="0.25">
      <c r="A11">
        <f t="shared" si="2"/>
        <v>-41</v>
      </c>
      <c r="C11" s="32" t="s">
        <v>283</v>
      </c>
    </row>
    <row r="12" spans="1:102" x14ac:dyDescent="0.25">
      <c r="A12">
        <f t="shared" si="2"/>
        <v>-40</v>
      </c>
      <c r="T12" s="32" t="s">
        <v>283</v>
      </c>
    </row>
    <row r="13" spans="1:102" ht="15.75" thickBot="1" x14ac:dyDescent="0.3">
      <c r="A13">
        <f t="shared" si="2"/>
        <v>-39</v>
      </c>
      <c r="H13" s="32" t="s">
        <v>283</v>
      </c>
      <c r="S13" s="31" t="s">
        <v>286</v>
      </c>
    </row>
    <row r="14" spans="1:102" ht="16.5" thickTop="1" thickBot="1" x14ac:dyDescent="0.3">
      <c r="A14">
        <f t="shared" si="2"/>
        <v>-38</v>
      </c>
      <c r="C14" s="32" t="s">
        <v>283</v>
      </c>
      <c r="M14" s="31" t="s">
        <v>287</v>
      </c>
      <c r="N14" s="29" t="s">
        <v>280</v>
      </c>
      <c r="S14" s="32" t="s">
        <v>283</v>
      </c>
    </row>
    <row r="15" spans="1:102" ht="16.5" thickTop="1" thickBot="1" x14ac:dyDescent="0.3">
      <c r="A15">
        <f t="shared" si="2"/>
        <v>-37</v>
      </c>
      <c r="B15" s="30" t="s">
        <v>288</v>
      </c>
      <c r="C15" s="29" t="s">
        <v>280</v>
      </c>
      <c r="N15" s="31" t="s">
        <v>287</v>
      </c>
    </row>
    <row r="16" spans="1:102" ht="16.5" thickTop="1" thickBot="1" x14ac:dyDescent="0.3">
      <c r="A16">
        <f t="shared" si="2"/>
        <v>-36</v>
      </c>
      <c r="O16" s="31" t="s">
        <v>287</v>
      </c>
    </row>
    <row r="17" spans="1:21" ht="16.5" thickTop="1" thickBot="1" x14ac:dyDescent="0.3">
      <c r="A17">
        <f t="shared" si="2"/>
        <v>-35</v>
      </c>
      <c r="C17" s="32" t="s">
        <v>283</v>
      </c>
      <c r="P17" s="31" t="s">
        <v>287</v>
      </c>
      <c r="Q17" s="29" t="s">
        <v>280</v>
      </c>
      <c r="S17" s="33" t="s">
        <v>289</v>
      </c>
    </row>
    <row r="18" spans="1:21" ht="16.5" thickTop="1" thickBot="1" x14ac:dyDescent="0.3">
      <c r="A18">
        <f t="shared" si="2"/>
        <v>-34</v>
      </c>
      <c r="Q18" s="31" t="s">
        <v>287</v>
      </c>
      <c r="S18" s="32" t="s">
        <v>283</v>
      </c>
      <c r="T18" s="32" t="s">
        <v>283</v>
      </c>
      <c r="U18" s="29" t="s">
        <v>280</v>
      </c>
    </row>
    <row r="19" spans="1:21" ht="15.75" thickTop="1" x14ac:dyDescent="0.25">
      <c r="A19">
        <f t="shared" si="2"/>
        <v>-33</v>
      </c>
      <c r="R19" s="31" t="s">
        <v>287</v>
      </c>
      <c r="T19" s="32" t="s">
        <v>283</v>
      </c>
    </row>
    <row r="20" spans="1:21" x14ac:dyDescent="0.25">
      <c r="A20">
        <f t="shared" si="2"/>
        <v>-32</v>
      </c>
    </row>
    <row r="21" spans="1:21" ht="15.75" thickBot="1" x14ac:dyDescent="0.3">
      <c r="A21">
        <f t="shared" si="2"/>
        <v>-31</v>
      </c>
      <c r="B21" s="33" t="s">
        <v>290</v>
      </c>
      <c r="D21" s="32" t="s">
        <v>283</v>
      </c>
      <c r="E21" s="32" t="s">
        <v>283</v>
      </c>
      <c r="F21" s="32" t="s">
        <v>283</v>
      </c>
      <c r="G21" s="32" t="s">
        <v>283</v>
      </c>
      <c r="H21" s="32" t="s">
        <v>283</v>
      </c>
    </row>
    <row r="22" spans="1:21" ht="16.5" thickTop="1" thickBot="1" x14ac:dyDescent="0.3">
      <c r="A22">
        <f t="shared" si="2"/>
        <v>-30</v>
      </c>
      <c r="D22" s="32" t="s">
        <v>283</v>
      </c>
      <c r="E22" s="32" t="s">
        <v>283</v>
      </c>
      <c r="F22" s="32" t="s">
        <v>283</v>
      </c>
      <c r="U22" s="29" t="s">
        <v>280</v>
      </c>
    </row>
    <row r="23" spans="1:21" ht="16.5" thickTop="1" thickBot="1" x14ac:dyDescent="0.3">
      <c r="A23">
        <f t="shared" si="2"/>
        <v>-29</v>
      </c>
      <c r="B23" s="32" t="s">
        <v>283</v>
      </c>
      <c r="C23" s="32" t="s">
        <v>283</v>
      </c>
    </row>
    <row r="24" spans="1:21" ht="16.5" thickTop="1" thickBot="1" x14ac:dyDescent="0.3">
      <c r="A24">
        <f t="shared" si="2"/>
        <v>-28</v>
      </c>
      <c r="C24" s="29" t="s">
        <v>280</v>
      </c>
    </row>
    <row r="25" spans="1:21" ht="15.75" thickTop="1" x14ac:dyDescent="0.25">
      <c r="A25">
        <f t="shared" si="2"/>
        <v>-27</v>
      </c>
    </row>
    <row r="26" spans="1:21" ht="15.75" thickBot="1" x14ac:dyDescent="0.3">
      <c r="A26">
        <f t="shared" si="2"/>
        <v>-26</v>
      </c>
      <c r="G26" s="33" t="s">
        <v>291</v>
      </c>
    </row>
    <row r="27" spans="1:21" ht="16.5" thickTop="1" thickBot="1" x14ac:dyDescent="0.3">
      <c r="A27">
        <f t="shared" si="2"/>
        <v>-25</v>
      </c>
      <c r="D27" s="29" t="s">
        <v>280</v>
      </c>
      <c r="E27" s="29" t="s">
        <v>280</v>
      </c>
      <c r="G27" s="33" t="s">
        <v>291</v>
      </c>
    </row>
    <row r="28" spans="1:21" ht="16.5" thickTop="1" thickBot="1" x14ac:dyDescent="0.3">
      <c r="A28">
        <f t="shared" si="2"/>
        <v>-24</v>
      </c>
      <c r="C28" s="29" t="s">
        <v>280</v>
      </c>
      <c r="G28" s="33" t="s">
        <v>291</v>
      </c>
    </row>
    <row r="29" spans="1:21" ht="16.5" thickTop="1" thickBot="1" x14ac:dyDescent="0.3">
      <c r="A29">
        <f t="shared" si="2"/>
        <v>-23</v>
      </c>
      <c r="D29" s="29" t="s">
        <v>280</v>
      </c>
    </row>
    <row r="30" spans="1:21" ht="15.75" thickTop="1" x14ac:dyDescent="0.25">
      <c r="A30">
        <f t="shared" si="2"/>
        <v>-22</v>
      </c>
      <c r="C30" s="31" t="s">
        <v>292</v>
      </c>
    </row>
    <row r="31" spans="1:21" x14ac:dyDescent="0.25">
      <c r="A31">
        <f t="shared" si="2"/>
        <v>-21</v>
      </c>
      <c r="C31" s="31" t="s">
        <v>292</v>
      </c>
    </row>
    <row r="32" spans="1:21" ht="15.75" thickBot="1" x14ac:dyDescent="0.3">
      <c r="A32">
        <f t="shared" si="2"/>
        <v>-20</v>
      </c>
      <c r="C32" s="31" t="s">
        <v>292</v>
      </c>
    </row>
    <row r="33" spans="1:60" ht="16.5" thickTop="1" thickBot="1" x14ac:dyDescent="0.3">
      <c r="A33">
        <f t="shared" si="2"/>
        <v>-19</v>
      </c>
      <c r="C33" s="31" t="s">
        <v>292</v>
      </c>
      <c r="E33" s="29" t="s">
        <v>280</v>
      </c>
    </row>
    <row r="34" spans="1:60" ht="15.75" thickTop="1" x14ac:dyDescent="0.25">
      <c r="A34">
        <f t="shared" si="2"/>
        <v>-18</v>
      </c>
      <c r="C34" s="31" t="s">
        <v>292</v>
      </c>
      <c r="G34" s="33" t="s">
        <v>290</v>
      </c>
    </row>
    <row r="35" spans="1:60" x14ac:dyDescent="0.25">
      <c r="A35">
        <f t="shared" si="2"/>
        <v>-17</v>
      </c>
      <c r="C35" s="31" t="s">
        <v>292</v>
      </c>
      <c r="G35" s="33" t="s">
        <v>290</v>
      </c>
      <c r="H35" s="34" t="s">
        <v>293</v>
      </c>
    </row>
    <row r="36" spans="1:60" x14ac:dyDescent="0.25">
      <c r="A36">
        <f t="shared" si="2"/>
        <v>-16</v>
      </c>
      <c r="C36" s="31" t="s">
        <v>292</v>
      </c>
      <c r="G36" s="33" t="s">
        <v>290</v>
      </c>
      <c r="H36" s="34" t="s">
        <v>293</v>
      </c>
    </row>
    <row r="37" spans="1:60" x14ac:dyDescent="0.25">
      <c r="A37">
        <f t="shared" si="2"/>
        <v>-15</v>
      </c>
      <c r="G37" s="30" t="s">
        <v>288</v>
      </c>
      <c r="H37" s="34" t="s">
        <v>293</v>
      </c>
    </row>
    <row r="38" spans="1:60" x14ac:dyDescent="0.25">
      <c r="A38">
        <f t="shared" si="2"/>
        <v>-14</v>
      </c>
      <c r="G38" s="33" t="s">
        <v>294</v>
      </c>
      <c r="H38" s="34" t="s">
        <v>161</v>
      </c>
    </row>
    <row r="39" spans="1:60" x14ac:dyDescent="0.25">
      <c r="A39">
        <f t="shared" si="2"/>
        <v>-13</v>
      </c>
      <c r="G39" s="33" t="s">
        <v>294</v>
      </c>
    </row>
    <row r="40" spans="1:60" x14ac:dyDescent="0.25">
      <c r="A40">
        <f t="shared" si="2"/>
        <v>-12</v>
      </c>
    </row>
    <row r="41" spans="1:60" x14ac:dyDescent="0.25">
      <c r="A41">
        <f t="shared" si="2"/>
        <v>-11</v>
      </c>
    </row>
    <row r="42" spans="1:60" x14ac:dyDescent="0.25">
      <c r="A42">
        <f t="shared" si="2"/>
        <v>-10</v>
      </c>
    </row>
    <row r="43" spans="1:60" x14ac:dyDescent="0.25">
      <c r="A43">
        <f t="shared" si="2"/>
        <v>-9</v>
      </c>
    </row>
    <row r="44" spans="1:60" x14ac:dyDescent="0.25">
      <c r="A44">
        <f t="shared" si="2"/>
        <v>-8</v>
      </c>
    </row>
    <row r="45" spans="1:60" x14ac:dyDescent="0.25">
      <c r="A45">
        <f t="shared" si="2"/>
        <v>-7</v>
      </c>
    </row>
    <row r="46" spans="1:60" x14ac:dyDescent="0.25">
      <c r="A46">
        <f t="shared" si="2"/>
        <v>-6</v>
      </c>
      <c r="AX46" s="35" t="s">
        <v>295</v>
      </c>
    </row>
    <row r="47" spans="1:60" x14ac:dyDescent="0.25">
      <c r="A47">
        <f t="shared" si="2"/>
        <v>-5</v>
      </c>
      <c r="AX47" s="34" t="s">
        <v>296</v>
      </c>
      <c r="BF47" s="34" t="s">
        <v>25</v>
      </c>
      <c r="BG47" s="34" t="s">
        <v>26</v>
      </c>
    </row>
    <row r="48" spans="1:60" x14ac:dyDescent="0.25">
      <c r="A48">
        <f t="shared" si="2"/>
        <v>-4</v>
      </c>
      <c r="AT48" s="34" t="s">
        <v>297</v>
      </c>
      <c r="AU48" s="34" t="s">
        <v>298</v>
      </c>
      <c r="AV48" s="36" t="s">
        <v>299</v>
      </c>
      <c r="AW48" s="34" t="s">
        <v>300</v>
      </c>
      <c r="AX48" s="36" t="s">
        <v>301</v>
      </c>
      <c r="AY48" s="34" t="s">
        <v>302</v>
      </c>
      <c r="BE48" s="34" t="s">
        <v>5</v>
      </c>
      <c r="BF48" s="36" t="s">
        <v>303</v>
      </c>
      <c r="BG48" s="34" t="s">
        <v>10</v>
      </c>
      <c r="BH48" s="34" t="s">
        <v>11</v>
      </c>
    </row>
    <row r="49" spans="1:64" x14ac:dyDescent="0.25">
      <c r="A49">
        <f t="shared" si="2"/>
        <v>-3</v>
      </c>
      <c r="AS49" s="34" t="s">
        <v>304</v>
      </c>
      <c r="AT49" s="36" t="s">
        <v>305</v>
      </c>
      <c r="AV49" s="34" t="s">
        <v>306</v>
      </c>
      <c r="BB49" s="37" t="s">
        <v>307</v>
      </c>
      <c r="BC49" s="36" t="s">
        <v>308</v>
      </c>
      <c r="BD49" s="34" t="s">
        <v>4</v>
      </c>
      <c r="BF49" s="34" t="s">
        <v>6</v>
      </c>
      <c r="BH49" s="34" t="s">
        <v>11</v>
      </c>
    </row>
    <row r="50" spans="1:64" x14ac:dyDescent="0.25">
      <c r="A50">
        <f t="shared" si="2"/>
        <v>-2</v>
      </c>
      <c r="AR50" s="36" t="s">
        <v>309</v>
      </c>
      <c r="AS50" s="34" t="s">
        <v>310</v>
      </c>
      <c r="AU50" s="34" t="s">
        <v>311</v>
      </c>
      <c r="AV50" s="34" t="s">
        <v>312</v>
      </c>
      <c r="AW50" s="36" t="s">
        <v>313</v>
      </c>
      <c r="AX50" s="34" t="s">
        <v>314</v>
      </c>
      <c r="AZ50" s="36" t="s">
        <v>315</v>
      </c>
      <c r="BB50" s="34" t="s">
        <v>24</v>
      </c>
      <c r="BC50" s="34" t="s">
        <v>3</v>
      </c>
      <c r="BE50" s="34" t="s">
        <v>8</v>
      </c>
      <c r="BF50" s="36" t="s">
        <v>316</v>
      </c>
      <c r="BG50" s="34" t="s">
        <v>9</v>
      </c>
      <c r="BH50" s="36" t="s">
        <v>317</v>
      </c>
      <c r="BL50" s="36" t="s">
        <v>318</v>
      </c>
    </row>
    <row r="51" spans="1:64" x14ac:dyDescent="0.25">
      <c r="A51">
        <f t="shared" si="2"/>
        <v>-1</v>
      </c>
      <c r="AU51" s="34" t="s">
        <v>319</v>
      </c>
      <c r="AV51" s="37" t="s">
        <v>320</v>
      </c>
      <c r="AW51" s="34" t="s">
        <v>321</v>
      </c>
      <c r="AX51" s="34" t="s">
        <v>322</v>
      </c>
      <c r="AY51" s="34" t="s">
        <v>323</v>
      </c>
      <c r="AZ51" s="34" t="s">
        <v>324</v>
      </c>
      <c r="BB51" s="34" t="s">
        <v>23</v>
      </c>
      <c r="BC51" s="36" t="s">
        <v>325</v>
      </c>
      <c r="BF51" s="34" t="s">
        <v>7</v>
      </c>
    </row>
    <row r="52" spans="1:64" x14ac:dyDescent="0.25">
      <c r="A52">
        <f t="shared" si="2"/>
        <v>0</v>
      </c>
      <c r="AU52" s="36" t="s">
        <v>326</v>
      </c>
      <c r="AX52" s="36" t="s">
        <v>327</v>
      </c>
      <c r="AY52" s="34" t="s">
        <v>297</v>
      </c>
      <c r="AZ52" s="37" t="s">
        <v>328</v>
      </c>
      <c r="BA52" s="34" t="s">
        <v>28</v>
      </c>
      <c r="BB52" s="34" t="s">
        <v>27</v>
      </c>
      <c r="BC52" s="34" t="s">
        <v>2</v>
      </c>
      <c r="BF52" s="36" t="s">
        <v>329</v>
      </c>
      <c r="BG52" s="34" t="s">
        <v>12</v>
      </c>
      <c r="BH52" s="34" t="s">
        <v>13</v>
      </c>
    </row>
    <row r="53" spans="1:64" x14ac:dyDescent="0.25">
      <c r="A53">
        <f t="shared" si="2"/>
        <v>1</v>
      </c>
      <c r="AU53" s="34" t="s">
        <v>330</v>
      </c>
      <c r="BC53" s="37" t="s">
        <v>331</v>
      </c>
    </row>
    <row r="54" spans="1:64" x14ac:dyDescent="0.25">
      <c r="A54">
        <f t="shared" si="2"/>
        <v>2</v>
      </c>
      <c r="AU54" s="34" t="s">
        <v>332</v>
      </c>
      <c r="AV54" s="36" t="s">
        <v>333</v>
      </c>
      <c r="AW54" s="34" t="s">
        <v>334</v>
      </c>
      <c r="BC54" s="35" t="s">
        <v>22</v>
      </c>
    </row>
    <row r="55" spans="1:64" x14ac:dyDescent="0.25">
      <c r="A55">
        <f t="shared" si="2"/>
        <v>3</v>
      </c>
      <c r="BC55" s="36" t="s">
        <v>335</v>
      </c>
    </row>
    <row r="56" spans="1:64" x14ac:dyDescent="0.25">
      <c r="A56">
        <f t="shared" si="2"/>
        <v>4</v>
      </c>
    </row>
    <row r="57" spans="1:64" x14ac:dyDescent="0.25">
      <c r="A57">
        <f t="shared" si="2"/>
        <v>5</v>
      </c>
    </row>
    <row r="58" spans="1:64" x14ac:dyDescent="0.25">
      <c r="A58">
        <f t="shared" si="2"/>
        <v>6</v>
      </c>
    </row>
    <row r="59" spans="1:64" x14ac:dyDescent="0.25">
      <c r="A59">
        <f t="shared" si="2"/>
        <v>7</v>
      </c>
    </row>
    <row r="60" spans="1:64" x14ac:dyDescent="0.25">
      <c r="A60">
        <f t="shared" si="2"/>
        <v>8</v>
      </c>
    </row>
    <row r="61" spans="1:64" x14ac:dyDescent="0.25">
      <c r="A61">
        <f t="shared" si="2"/>
        <v>9</v>
      </c>
    </row>
    <row r="62" spans="1:64" x14ac:dyDescent="0.25">
      <c r="A62">
        <f t="shared" si="2"/>
        <v>10</v>
      </c>
    </row>
    <row r="63" spans="1:64" x14ac:dyDescent="0.25">
      <c r="A63">
        <f t="shared" si="2"/>
        <v>11</v>
      </c>
    </row>
    <row r="64" spans="1:64" x14ac:dyDescent="0.25">
      <c r="A64">
        <f t="shared" si="2"/>
        <v>12</v>
      </c>
    </row>
    <row r="65" spans="1:67" x14ac:dyDescent="0.25">
      <c r="A65">
        <f t="shared" si="2"/>
        <v>13</v>
      </c>
    </row>
    <row r="66" spans="1:67" x14ac:dyDescent="0.25">
      <c r="A66">
        <f t="shared" si="2"/>
        <v>14</v>
      </c>
    </row>
    <row r="67" spans="1:67" x14ac:dyDescent="0.25">
      <c r="A67">
        <f t="shared" si="2"/>
        <v>15</v>
      </c>
      <c r="BO67" s="34" t="s">
        <v>13</v>
      </c>
    </row>
    <row r="68" spans="1:67" x14ac:dyDescent="0.25">
      <c r="A68">
        <f t="shared" si="2"/>
        <v>16</v>
      </c>
      <c r="BO68" s="34" t="s">
        <v>13</v>
      </c>
    </row>
    <row r="69" spans="1:67" x14ac:dyDescent="0.25">
      <c r="A69">
        <f t="shared" si="2"/>
        <v>17</v>
      </c>
      <c r="BK69" s="34" t="s">
        <v>19</v>
      </c>
      <c r="BL69" s="36" t="s">
        <v>336</v>
      </c>
      <c r="BM69" s="34" t="s">
        <v>16</v>
      </c>
      <c r="BN69" s="34" t="s">
        <v>15</v>
      </c>
      <c r="BO69" s="34" t="s">
        <v>14</v>
      </c>
    </row>
    <row r="70" spans="1:67" x14ac:dyDescent="0.25">
      <c r="A70">
        <f t="shared" ref="A70:A101" si="3">SUM(A69,1)</f>
        <v>18</v>
      </c>
      <c r="BL70" s="34" t="s">
        <v>20</v>
      </c>
    </row>
    <row r="71" spans="1:67" x14ac:dyDescent="0.25">
      <c r="A71">
        <f t="shared" si="3"/>
        <v>19</v>
      </c>
    </row>
    <row r="72" spans="1:67" x14ac:dyDescent="0.25">
      <c r="A72">
        <f t="shared" si="3"/>
        <v>20</v>
      </c>
    </row>
    <row r="73" spans="1:67" x14ac:dyDescent="0.25">
      <c r="A73">
        <f t="shared" si="3"/>
        <v>21</v>
      </c>
    </row>
    <row r="74" spans="1:67" x14ac:dyDescent="0.25">
      <c r="A74">
        <f t="shared" si="3"/>
        <v>22</v>
      </c>
    </row>
    <row r="75" spans="1:67" x14ac:dyDescent="0.25">
      <c r="A75">
        <f t="shared" si="3"/>
        <v>23</v>
      </c>
    </row>
    <row r="76" spans="1:67" x14ac:dyDescent="0.25">
      <c r="A76">
        <f t="shared" si="3"/>
        <v>24</v>
      </c>
    </row>
    <row r="77" spans="1:67" x14ac:dyDescent="0.25">
      <c r="A77">
        <f t="shared" si="3"/>
        <v>25</v>
      </c>
    </row>
    <row r="78" spans="1:67" x14ac:dyDescent="0.25">
      <c r="A78">
        <f t="shared" si="3"/>
        <v>26</v>
      </c>
    </row>
    <row r="79" spans="1:67" x14ac:dyDescent="0.25">
      <c r="A79">
        <f t="shared" si="3"/>
        <v>27</v>
      </c>
    </row>
    <row r="80" spans="1:67" x14ac:dyDescent="0.25">
      <c r="A80">
        <f t="shared" si="3"/>
        <v>28</v>
      </c>
    </row>
    <row r="81" spans="1:1" x14ac:dyDescent="0.25">
      <c r="A81">
        <f t="shared" si="3"/>
        <v>29</v>
      </c>
    </row>
    <row r="82" spans="1:1" x14ac:dyDescent="0.25">
      <c r="A82">
        <f t="shared" si="3"/>
        <v>30</v>
      </c>
    </row>
    <row r="83" spans="1:1" x14ac:dyDescent="0.25">
      <c r="A83">
        <f t="shared" si="3"/>
        <v>31</v>
      </c>
    </row>
    <row r="84" spans="1:1" x14ac:dyDescent="0.25">
      <c r="A84">
        <f t="shared" si="3"/>
        <v>32</v>
      </c>
    </row>
    <row r="85" spans="1:1" x14ac:dyDescent="0.25">
      <c r="A85">
        <f t="shared" si="3"/>
        <v>33</v>
      </c>
    </row>
    <row r="86" spans="1:1" x14ac:dyDescent="0.25">
      <c r="A86">
        <f t="shared" si="3"/>
        <v>34</v>
      </c>
    </row>
    <row r="87" spans="1:1" x14ac:dyDescent="0.25">
      <c r="A87">
        <f t="shared" si="3"/>
        <v>35</v>
      </c>
    </row>
    <row r="88" spans="1:1" x14ac:dyDescent="0.25">
      <c r="A88">
        <f t="shared" si="3"/>
        <v>36</v>
      </c>
    </row>
    <row r="89" spans="1:1" x14ac:dyDescent="0.25">
      <c r="A89">
        <f t="shared" si="3"/>
        <v>37</v>
      </c>
    </row>
    <row r="90" spans="1:1" x14ac:dyDescent="0.25">
      <c r="A90">
        <f t="shared" si="3"/>
        <v>38</v>
      </c>
    </row>
    <row r="91" spans="1:1" x14ac:dyDescent="0.25">
      <c r="A91">
        <f t="shared" si="3"/>
        <v>39</v>
      </c>
    </row>
    <row r="92" spans="1:1" x14ac:dyDescent="0.25">
      <c r="A92">
        <f t="shared" si="3"/>
        <v>40</v>
      </c>
    </row>
    <row r="93" spans="1:1" x14ac:dyDescent="0.25">
      <c r="A93">
        <f t="shared" si="3"/>
        <v>41</v>
      </c>
    </row>
    <row r="94" spans="1:1" x14ac:dyDescent="0.25">
      <c r="A94">
        <f t="shared" si="3"/>
        <v>42</v>
      </c>
    </row>
    <row r="95" spans="1:1" x14ac:dyDescent="0.25">
      <c r="A95">
        <f t="shared" si="3"/>
        <v>43</v>
      </c>
    </row>
    <row r="96" spans="1:1" x14ac:dyDescent="0.25">
      <c r="A96">
        <f t="shared" si="3"/>
        <v>44</v>
      </c>
    </row>
    <row r="97" spans="1:1" x14ac:dyDescent="0.25">
      <c r="A97">
        <f t="shared" si="3"/>
        <v>45</v>
      </c>
    </row>
    <row r="98" spans="1:1" x14ac:dyDescent="0.25">
      <c r="A98">
        <f t="shared" si="3"/>
        <v>46</v>
      </c>
    </row>
    <row r="99" spans="1:1" x14ac:dyDescent="0.25">
      <c r="A99">
        <f t="shared" si="3"/>
        <v>47</v>
      </c>
    </row>
    <row r="100" spans="1:1" x14ac:dyDescent="0.25">
      <c r="A100">
        <f t="shared" si="3"/>
        <v>48</v>
      </c>
    </row>
    <row r="101" spans="1:1" x14ac:dyDescent="0.25">
      <c r="A101">
        <f t="shared" si="3"/>
        <v>49</v>
      </c>
    </row>
    <row r="102" spans="1:1" x14ac:dyDescent="0.25">
      <c r="A102">
        <f>SUM(A101,1)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Spawn List</vt:lpstr>
      <vt:lpstr>Type Chart</vt:lpstr>
      <vt:lpstr>Map 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DefaulT</cp:lastModifiedBy>
  <dcterms:created xsi:type="dcterms:W3CDTF">2011-11-28T23:36:06Z</dcterms:created>
  <dcterms:modified xsi:type="dcterms:W3CDTF">2012-06-05T23:24:30Z</dcterms:modified>
</cp:coreProperties>
</file>